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le\Dropbox\"/>
    </mc:Choice>
  </mc:AlternateContent>
  <xr:revisionPtr revIDLastSave="0" documentId="13_ncr:1_{DB907F70-C241-4EC5-9A73-6BA9B7D67A0F}" xr6:coauthVersionLast="47" xr6:coauthVersionMax="47" xr10:uidLastSave="{00000000-0000-0000-0000-000000000000}"/>
  <bookViews>
    <workbookView xWindow="-120" yWindow="-120" windowWidth="29040" windowHeight="15990" tabRatio="598" xr2:uid="{00000000-000D-0000-FFFF-FFFF00000000}"/>
  </bookViews>
  <sheets>
    <sheet name="Tasks" sheetId="1" r:id="rId1"/>
  </sheets>
  <definedNames>
    <definedName name="Tasks_Complete">Tasks!$G$11:$G$123</definedName>
    <definedName name="Tasks_End">Tasks!$F$13:$F$123</definedName>
    <definedName name="Tasks_Names">Tasks!$D$13:$D$87</definedName>
    <definedName name="Tasks_Pct">Tasks!$H$11:$H$123</definedName>
    <definedName name="Tasks_Start">Tasks!$E$13:$E$87</definedName>
    <definedName name="TasksTable">Tasks!$D$3:$I$122</definedName>
    <definedName name="Timeline_Sta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94" i="1"/>
  <c r="A95" i="1"/>
  <c r="A96" i="1"/>
  <c r="A97" i="1"/>
  <c r="A98" i="1"/>
  <c r="A99" i="1"/>
  <c r="A100" i="1"/>
  <c r="I3" i="1"/>
  <c r="J3" i="1"/>
  <c r="K3" i="1" s="1"/>
  <c r="I4" i="1"/>
  <c r="J4" i="1"/>
  <c r="K4" i="1"/>
  <c r="I5" i="1"/>
  <c r="J5" i="1"/>
  <c r="I6" i="1"/>
  <c r="J6" i="1"/>
  <c r="I7" i="1"/>
  <c r="J7" i="1"/>
  <c r="I8" i="1"/>
  <c r="J8" i="1"/>
  <c r="I9" i="1"/>
  <c r="J9" i="1"/>
  <c r="K9" i="1" s="1"/>
  <c r="I10" i="1"/>
  <c r="J10" i="1"/>
  <c r="I11" i="1"/>
  <c r="J11" i="1"/>
  <c r="I12" i="1"/>
  <c r="J12" i="1"/>
  <c r="I13" i="1"/>
  <c r="J13" i="1"/>
  <c r="I14" i="1"/>
  <c r="J14" i="1"/>
  <c r="I15" i="1"/>
  <c r="J15" i="1"/>
  <c r="K15" i="1"/>
  <c r="I16" i="1"/>
  <c r="J16" i="1"/>
  <c r="K16" i="1" s="1"/>
  <c r="I17" i="1"/>
  <c r="J17" i="1"/>
  <c r="I18" i="1"/>
  <c r="J18" i="1"/>
  <c r="I19" i="1"/>
  <c r="J19" i="1"/>
  <c r="I20" i="1"/>
  <c r="K20" i="1" s="1"/>
  <c r="J20" i="1"/>
  <c r="I21" i="1"/>
  <c r="J21" i="1"/>
  <c r="I22" i="1"/>
  <c r="J22" i="1"/>
  <c r="I23" i="1"/>
  <c r="J23" i="1"/>
  <c r="I24" i="1"/>
  <c r="J24" i="1"/>
  <c r="K24" i="1" s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K40" i="1" s="1"/>
  <c r="I41" i="1"/>
  <c r="J41" i="1"/>
  <c r="I42" i="1"/>
  <c r="J42" i="1"/>
  <c r="I43" i="1"/>
  <c r="J43" i="1"/>
  <c r="I44" i="1"/>
  <c r="K44" i="1" s="1"/>
  <c r="J44" i="1"/>
  <c r="I45" i="1"/>
  <c r="J45" i="1"/>
  <c r="I49" i="1"/>
  <c r="J49" i="1"/>
  <c r="I46" i="1"/>
  <c r="J46" i="1"/>
  <c r="I47" i="1"/>
  <c r="J47" i="1"/>
  <c r="I48" i="1"/>
  <c r="J48" i="1"/>
  <c r="I50" i="1"/>
  <c r="J50" i="1"/>
  <c r="I53" i="1"/>
  <c r="J53" i="1"/>
  <c r="I54" i="1"/>
  <c r="J54" i="1"/>
  <c r="I55" i="1"/>
  <c r="J55" i="1"/>
  <c r="I56" i="1"/>
  <c r="J56" i="1"/>
  <c r="I57" i="1"/>
  <c r="J57" i="1"/>
  <c r="I58" i="1"/>
  <c r="J58" i="1"/>
  <c r="I51" i="1"/>
  <c r="J51" i="1"/>
  <c r="I52" i="1"/>
  <c r="J52" i="1"/>
  <c r="I63" i="1"/>
  <c r="J63" i="1"/>
  <c r="I59" i="1"/>
  <c r="J59" i="1"/>
  <c r="I60" i="1"/>
  <c r="J60" i="1"/>
  <c r="I66" i="1"/>
  <c r="J66" i="1"/>
  <c r="I64" i="1"/>
  <c r="J64" i="1"/>
  <c r="I65" i="1"/>
  <c r="J65" i="1"/>
  <c r="I62" i="1"/>
  <c r="J62" i="1"/>
  <c r="I67" i="1"/>
  <c r="J67" i="1"/>
  <c r="I68" i="1"/>
  <c r="J68" i="1"/>
  <c r="I69" i="1"/>
  <c r="J69" i="1"/>
  <c r="I70" i="1"/>
  <c r="J70" i="1"/>
  <c r="I71" i="1"/>
  <c r="J71" i="1"/>
  <c r="K71" i="1" s="1"/>
  <c r="I72" i="1"/>
  <c r="J72" i="1"/>
  <c r="J73" i="1"/>
  <c r="K73" i="1" s="1"/>
  <c r="J77" i="1"/>
  <c r="K77" i="1" s="1"/>
  <c r="J78" i="1"/>
  <c r="K78" i="1" s="1"/>
  <c r="J79" i="1"/>
  <c r="K79" i="1" s="1"/>
  <c r="J80" i="1"/>
  <c r="K80" i="1" s="1"/>
  <c r="J81" i="1"/>
  <c r="K81" i="1" s="1"/>
  <c r="I82" i="1"/>
  <c r="J82" i="1"/>
  <c r="J61" i="1"/>
  <c r="K61" i="1" s="1"/>
  <c r="J75" i="1"/>
  <c r="J76" i="1"/>
  <c r="K76" i="1" s="1"/>
  <c r="J74" i="1"/>
  <c r="K74" i="1" s="1"/>
  <c r="A82" i="1"/>
  <c r="A79" i="1"/>
  <c r="A80" i="1"/>
  <c r="A89" i="1"/>
  <c r="A81" i="1"/>
  <c r="A75" i="1"/>
  <c r="A77" i="1"/>
  <c r="A76" i="1"/>
  <c r="A74" i="1"/>
  <c r="A73" i="1"/>
  <c r="A78" i="1"/>
  <c r="A93" i="1"/>
  <c r="A92" i="1"/>
  <c r="A91" i="1"/>
  <c r="A63" i="1"/>
  <c r="A64" i="1"/>
  <c r="A65" i="1"/>
  <c r="A84" i="1"/>
  <c r="A59" i="1"/>
  <c r="A60" i="1"/>
  <c r="A85" i="1"/>
  <c r="A86" i="1"/>
  <c r="A87" i="1"/>
  <c r="A88" i="1"/>
  <c r="A61" i="1"/>
  <c r="A62" i="1"/>
  <c r="A90" i="1"/>
  <c r="A66" i="1"/>
  <c r="A67" i="1"/>
  <c r="A68" i="1"/>
  <c r="A69" i="1"/>
  <c r="A70" i="1"/>
  <c r="A72" i="1"/>
  <c r="A71" i="1"/>
  <c r="A83" i="1"/>
  <c r="A58" i="1"/>
  <c r="A57" i="1"/>
  <c r="A49" i="1"/>
  <c r="A48" i="1"/>
  <c r="A56" i="1"/>
  <c r="A55" i="1"/>
  <c r="A54" i="1"/>
  <c r="A53" i="1"/>
  <c r="A52" i="1"/>
  <c r="A51" i="1"/>
  <c r="A39" i="1"/>
  <c r="A2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9" i="1"/>
  <c r="A30" i="1"/>
  <c r="A46" i="1"/>
  <c r="A37" i="1"/>
  <c r="A38" i="1"/>
  <c r="A31" i="1"/>
  <c r="A47" i="1"/>
  <c r="A34" i="1"/>
  <c r="A35" i="1"/>
  <c r="A32" i="1"/>
  <c r="A33" i="1"/>
  <c r="A36" i="1"/>
  <c r="A40" i="1"/>
  <c r="A41" i="1"/>
  <c r="A50" i="1"/>
  <c r="A42" i="1"/>
  <c r="A43" i="1"/>
  <c r="A44" i="1"/>
  <c r="A45" i="1"/>
  <c r="A3" i="1"/>
  <c r="K12" i="1" l="1"/>
  <c r="K49" i="1"/>
  <c r="K63" i="1"/>
  <c r="K55" i="1"/>
  <c r="K59" i="1"/>
  <c r="K35" i="1"/>
  <c r="K53" i="1"/>
  <c r="K67" i="1"/>
  <c r="K5" i="1"/>
  <c r="K65" i="1"/>
  <c r="K48" i="1"/>
  <c r="K18" i="1"/>
  <c r="K33" i="1"/>
  <c r="K47" i="1"/>
  <c r="K57" i="1"/>
  <c r="K32" i="1"/>
  <c r="K66" i="1"/>
  <c r="K27" i="1"/>
  <c r="K60" i="1"/>
  <c r="K22" i="1"/>
  <c r="K7" i="1"/>
  <c r="K54" i="1"/>
  <c r="K42" i="1"/>
  <c r="K64" i="1"/>
  <c r="K58" i="1"/>
  <c r="K19" i="1"/>
  <c r="K26" i="1"/>
  <c r="K11" i="1"/>
  <c r="K69" i="1"/>
  <c r="K39" i="1"/>
  <c r="K82" i="1"/>
  <c r="K31" i="1"/>
  <c r="K68" i="1"/>
  <c r="K38" i="1"/>
  <c r="K45" i="1"/>
  <c r="K37" i="1"/>
  <c r="K29" i="1"/>
  <c r="K6" i="1"/>
  <c r="K72" i="1"/>
  <c r="K50" i="1"/>
  <c r="K51" i="1"/>
  <c r="K30" i="1"/>
  <c r="K17" i="1"/>
  <c r="K43" i="1"/>
  <c r="K56" i="1"/>
  <c r="K23" i="1"/>
  <c r="K10" i="1"/>
  <c r="K62" i="1"/>
  <c r="K41" i="1"/>
  <c r="K28" i="1"/>
  <c r="K34" i="1"/>
  <c r="K21" i="1"/>
  <c r="K8" i="1"/>
  <c r="K13" i="1"/>
</calcChain>
</file>

<file path=xl/sharedStrings.xml><?xml version="1.0" encoding="utf-8"?>
<sst xmlns="http://schemas.openxmlformats.org/spreadsheetml/2006/main" count="305" uniqueCount="96">
  <si>
    <t>Task</t>
  </si>
  <si>
    <t>Assigned Date</t>
  </si>
  <si>
    <t>Due Date</t>
  </si>
  <si>
    <t>Complete Date</t>
  </si>
  <si>
    <t>% Complete</t>
  </si>
  <si>
    <t>Write Syllabi</t>
  </si>
  <si>
    <t>Category</t>
  </si>
  <si>
    <t>Subcategory</t>
  </si>
  <si>
    <t>Career</t>
  </si>
  <si>
    <t>Intro to Engineering</t>
  </si>
  <si>
    <t>Print Syllabi</t>
  </si>
  <si>
    <t>Dynamics</t>
  </si>
  <si>
    <t>Statics</t>
  </si>
  <si>
    <t>Write Introductory Email</t>
  </si>
  <si>
    <t>Setup Lab Equipment</t>
  </si>
  <si>
    <t>Thermal Engineering</t>
  </si>
  <si>
    <t>Fluid Mechanics</t>
  </si>
  <si>
    <t>Meet with TA</t>
  </si>
  <si>
    <t>Thermal Engineering Lab</t>
  </si>
  <si>
    <t>Fluid Mechanics Lab</t>
  </si>
  <si>
    <t>IRE Lab</t>
  </si>
  <si>
    <t>Update D2L</t>
  </si>
  <si>
    <t>Daniel Jones LoR</t>
  </si>
  <si>
    <t>General Correspondance</t>
  </si>
  <si>
    <t>Prepare Exp 101</t>
  </si>
  <si>
    <t>Priority</t>
  </si>
  <si>
    <t>Meet with IRE Instructors and TAs</t>
  </si>
  <si>
    <t>Prepare Lecture (Week 1)</t>
  </si>
  <si>
    <t>Prepare Homework (HW1 - HW2)</t>
  </si>
  <si>
    <t>Prepare Classwork (CW1 - CW2)</t>
  </si>
  <si>
    <t>Prepare Drillwork (DW1 - DW2)</t>
  </si>
  <si>
    <t>Clean Up Lab</t>
  </si>
  <si>
    <t>Prepare Exp 105</t>
  </si>
  <si>
    <t>Today's Date</t>
  </si>
  <si>
    <t>Prepare Homework (HW1)</t>
  </si>
  <si>
    <t>Prepare Classwork (CW1)</t>
  </si>
  <si>
    <t>ME Lab Coordinator</t>
  </si>
  <si>
    <t>FY Engineering Coordinator</t>
  </si>
  <si>
    <t>Lab Protocols</t>
  </si>
  <si>
    <t>Add engine oil</t>
  </si>
  <si>
    <t>Oil Change</t>
  </si>
  <si>
    <t>Fix Headlight</t>
  </si>
  <si>
    <t>Clean and Wash Car</t>
  </si>
  <si>
    <t>Fix Steering Wheel Electrical Harness</t>
  </si>
  <si>
    <t>Personal</t>
  </si>
  <si>
    <t>Review Dynamics CH2/CW2</t>
  </si>
  <si>
    <t>Email Intro to Engineering Drill TA</t>
  </si>
  <si>
    <t>Prepare Homework (HW2)</t>
  </si>
  <si>
    <t>Prepare Classwork (CW2)</t>
  </si>
  <si>
    <t>Review Statics CH2/CW2</t>
  </si>
  <si>
    <t>Write UPS Chapter 2 Notes and HW</t>
  </si>
  <si>
    <t xml:space="preserve">Reconfigure Intro to Engr w IRE </t>
  </si>
  <si>
    <t>Email IRE Lab Instructors</t>
  </si>
  <si>
    <t>Grade HW1</t>
  </si>
  <si>
    <t>University Physical Science</t>
  </si>
  <si>
    <t>Prepare Homework (HW3)</t>
  </si>
  <si>
    <t>Prepare Classwork (CW3)</t>
  </si>
  <si>
    <t>Prepare Drillwork (DW3)</t>
  </si>
  <si>
    <t>Prepare Lecture (Week 3)</t>
  </si>
  <si>
    <t>Write UPS Chapter 3 Notes and HW</t>
  </si>
  <si>
    <t>Prepare Lecture (Week 4)</t>
  </si>
  <si>
    <t>Prepare Exp 102</t>
  </si>
  <si>
    <t>Prepare Exp 103</t>
  </si>
  <si>
    <t>Prepare Homework (HW4)</t>
  </si>
  <si>
    <t>Prepare Classwork (CW4)</t>
  </si>
  <si>
    <t>Prepare Drillwork (DW4)</t>
  </si>
  <si>
    <t>Prepare Exp 104</t>
  </si>
  <si>
    <t>Chapter 4 Notes and HW</t>
  </si>
  <si>
    <t>Propendulum MVP</t>
  </si>
  <si>
    <t>Science Museum Demo</t>
  </si>
  <si>
    <t>Write Exam 1</t>
  </si>
  <si>
    <t>Prepare Exp 106</t>
  </si>
  <si>
    <t>Prepare Exp 107</t>
  </si>
  <si>
    <t>Prepare Exp 108</t>
  </si>
  <si>
    <t>Prepare Drillwork (DW6 - DW8)</t>
  </si>
  <si>
    <t>Prepare Drillwork (DW5)</t>
  </si>
  <si>
    <t>Prepare Homework (HW5)</t>
  </si>
  <si>
    <t>Prepare Classwork (CW5)</t>
  </si>
  <si>
    <t>Chapter 5 Notes and HW</t>
  </si>
  <si>
    <t>Chapter 6 Notes and HW</t>
  </si>
  <si>
    <t>Grade Exam 1</t>
  </si>
  <si>
    <t>Grade Proposals</t>
  </si>
  <si>
    <t>Society of Physics Students</t>
  </si>
  <si>
    <t>Prepare Talk</t>
  </si>
  <si>
    <t>Prepare Drillwork (DW8 - DW11)</t>
  </si>
  <si>
    <t>Prepare Classwork (CW8)</t>
  </si>
  <si>
    <t>Prepare Homework (HW7 - HW8)</t>
  </si>
  <si>
    <t>Prepare Drillwork (DW9 - DW11)</t>
  </si>
  <si>
    <t>Prepare Classwork (CW8 - CW10)</t>
  </si>
  <si>
    <t>Prepare Homework (HW8 - HW10)</t>
  </si>
  <si>
    <t>Prepare Drillwork (DW6 - DW7)</t>
  </si>
  <si>
    <t>Prepare Homework (HW6)</t>
  </si>
  <si>
    <t>Prepare Classwork (CW6 - CW7)</t>
  </si>
  <si>
    <t>Prepare Homework (HW6 - HW7)</t>
  </si>
  <si>
    <t>Chapter 7 Notes and HW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</si>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</sst>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;@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0" fontId="0" fillId="0" borderId="0" xfId="2" applyNumberFormat="1" applyFont="1"/>
    <xf numFmtId="9" fontId="0" fillId="0" borderId="0" xfId="1" applyFon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90" zoomScaleNormal="90" workbookViewId="0">
      <selection activeCell="E120" sqref="E120"/>
    </sheetView>
  </sheetViews>
  <sheetFormatPr defaultRowHeight="15" x14ac:dyDescent="0.25"/>
  <cols>
    <col min="2" max="2" width="8.85546875" bestFit="1" customWidth="1"/>
    <col min="3" max="3" width="25.5703125" bestFit="1" customWidth="1"/>
    <col min="4" max="4" width="34.42578125" bestFit="1" customWidth="1"/>
    <col min="5" max="7" width="14.7109375" style="1" customWidth="1"/>
    <col min="8" max="8" width="12.7109375" customWidth="1"/>
    <col min="9" max="9" width="6.7109375" bestFit="1" customWidth="1"/>
    <col min="10" max="10" width="3.28515625" bestFit="1" customWidth="1"/>
  </cols>
  <sheetData>
    <row r="1" spans="1:11" x14ac:dyDescent="0.25">
      <c r="E1"/>
      <c r="H1" s="1"/>
      <c r="K1" s="5" t="s">
        <v>33</v>
      </c>
    </row>
    <row r="2" spans="1:11" x14ac:dyDescent="0.25">
      <c r="A2" s="3" t="s">
        <v>25</v>
      </c>
      <c r="B2" s="3" t="s">
        <v>6</v>
      </c>
      <c r="C2" s="3" t="s">
        <v>7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/>
      <c r="K2" s="2">
        <v>45942</v>
      </c>
    </row>
    <row r="3" spans="1:11" x14ac:dyDescent="0.25">
      <c r="A3" t="str">
        <f t="shared" ref="A3:A45" si="0">IF(ISNUMBER(G3),"",-($K$2-F3))</f>
        <v/>
      </c>
      <c r="B3" t="s">
        <v>8</v>
      </c>
      <c r="C3" t="s">
        <v>9</v>
      </c>
      <c r="D3" t="s">
        <v>5</v>
      </c>
      <c r="E3" s="2">
        <v>45885</v>
      </c>
      <c r="F3" s="2">
        <v>45886</v>
      </c>
      <c r="G3" s="2">
        <v>45886</v>
      </c>
      <c r="H3" s="4">
        <v>1</v>
      </c>
      <c r="I3">
        <f t="shared" ref="I3:I34" si="1">F3-G3</f>
        <v>0</v>
      </c>
      <c r="J3">
        <f t="shared" ref="J3:J34" si="2">F3-E3</f>
        <v>1</v>
      </c>
      <c r="K3" s="6">
        <f t="shared" ref="K3:K13" si="3">I3/J3</f>
        <v>0</v>
      </c>
    </row>
    <row r="4" spans="1:11" x14ac:dyDescent="0.25">
      <c r="A4" t="str">
        <f t="shared" si="0"/>
        <v/>
      </c>
      <c r="B4" t="s">
        <v>8</v>
      </c>
      <c r="C4" t="s">
        <v>11</v>
      </c>
      <c r="D4" t="s">
        <v>21</v>
      </c>
      <c r="E4" s="2">
        <v>45885</v>
      </c>
      <c r="F4" s="2">
        <v>45886</v>
      </c>
      <c r="G4" s="2">
        <v>45886</v>
      </c>
      <c r="H4" s="7">
        <v>1</v>
      </c>
      <c r="I4">
        <f t="shared" si="1"/>
        <v>0</v>
      </c>
      <c r="J4">
        <f t="shared" si="2"/>
        <v>1</v>
      </c>
      <c r="K4" s="6">
        <f t="shared" si="3"/>
        <v>0</v>
      </c>
    </row>
    <row r="5" spans="1:11" x14ac:dyDescent="0.25">
      <c r="A5" t="str">
        <f t="shared" si="0"/>
        <v/>
      </c>
      <c r="B5" t="s">
        <v>8</v>
      </c>
      <c r="C5" t="s">
        <v>12</v>
      </c>
      <c r="D5" t="s">
        <v>21</v>
      </c>
      <c r="E5" s="2">
        <v>45885</v>
      </c>
      <c r="F5" s="2">
        <v>45886</v>
      </c>
      <c r="G5" s="2">
        <v>45886</v>
      </c>
      <c r="H5" s="4">
        <v>1</v>
      </c>
      <c r="I5">
        <f t="shared" si="1"/>
        <v>0</v>
      </c>
      <c r="J5">
        <f t="shared" si="2"/>
        <v>1</v>
      </c>
      <c r="K5" s="6">
        <f t="shared" si="3"/>
        <v>0</v>
      </c>
    </row>
    <row r="6" spans="1:11" x14ac:dyDescent="0.25">
      <c r="A6" t="str">
        <f t="shared" si="0"/>
        <v/>
      </c>
      <c r="B6" t="s">
        <v>8</v>
      </c>
      <c r="C6" t="s">
        <v>18</v>
      </c>
      <c r="D6" t="s">
        <v>21</v>
      </c>
      <c r="E6" s="2">
        <v>45885</v>
      </c>
      <c r="F6" s="2">
        <v>45886</v>
      </c>
      <c r="G6" s="2">
        <v>45886</v>
      </c>
      <c r="H6" s="4">
        <v>1</v>
      </c>
      <c r="I6">
        <f t="shared" si="1"/>
        <v>0</v>
      </c>
      <c r="J6">
        <f t="shared" si="2"/>
        <v>1</v>
      </c>
      <c r="K6" s="6">
        <f t="shared" si="3"/>
        <v>0</v>
      </c>
    </row>
    <row r="7" spans="1:11" x14ac:dyDescent="0.25">
      <c r="A7" t="str">
        <f t="shared" si="0"/>
        <v/>
      </c>
      <c r="B7" t="s">
        <v>8</v>
      </c>
      <c r="C7" t="s">
        <v>19</v>
      </c>
      <c r="D7" t="s">
        <v>21</v>
      </c>
      <c r="E7" s="2">
        <v>45885</v>
      </c>
      <c r="F7" s="2">
        <v>45886</v>
      </c>
      <c r="G7" s="2">
        <v>45886</v>
      </c>
      <c r="H7" s="4">
        <v>1</v>
      </c>
      <c r="I7">
        <f t="shared" si="1"/>
        <v>0</v>
      </c>
      <c r="J7">
        <f t="shared" si="2"/>
        <v>1</v>
      </c>
      <c r="K7" s="6">
        <f t="shared" si="3"/>
        <v>0</v>
      </c>
    </row>
    <row r="8" spans="1:11" x14ac:dyDescent="0.25">
      <c r="A8" t="str">
        <f t="shared" si="0"/>
        <v/>
      </c>
      <c r="B8" t="s">
        <v>8</v>
      </c>
      <c r="C8" t="s">
        <v>9</v>
      </c>
      <c r="D8" t="s">
        <v>21</v>
      </c>
      <c r="E8" s="2">
        <v>45885</v>
      </c>
      <c r="F8" s="2">
        <v>45886</v>
      </c>
      <c r="G8" s="2">
        <v>45886</v>
      </c>
      <c r="H8" s="4">
        <v>1</v>
      </c>
      <c r="I8">
        <f t="shared" si="1"/>
        <v>0</v>
      </c>
      <c r="J8">
        <f t="shared" si="2"/>
        <v>1</v>
      </c>
      <c r="K8" s="6">
        <f t="shared" si="3"/>
        <v>0</v>
      </c>
    </row>
    <row r="9" spans="1:11" x14ac:dyDescent="0.25">
      <c r="A9" t="str">
        <f t="shared" si="0"/>
        <v/>
      </c>
      <c r="B9" t="s">
        <v>8</v>
      </c>
      <c r="C9" t="s">
        <v>9</v>
      </c>
      <c r="D9" t="s">
        <v>13</v>
      </c>
      <c r="E9" s="2">
        <v>45885</v>
      </c>
      <c r="F9" s="2">
        <v>45886</v>
      </c>
      <c r="G9" s="2">
        <v>45886</v>
      </c>
      <c r="H9" s="4">
        <v>1</v>
      </c>
      <c r="I9">
        <f t="shared" si="1"/>
        <v>0</v>
      </c>
      <c r="J9">
        <f t="shared" si="2"/>
        <v>1</v>
      </c>
      <c r="K9" s="6">
        <f t="shared" si="3"/>
        <v>0</v>
      </c>
    </row>
    <row r="10" spans="1:11" x14ac:dyDescent="0.25">
      <c r="A10" t="str">
        <f t="shared" si="0"/>
        <v/>
      </c>
      <c r="B10" t="s">
        <v>8</v>
      </c>
      <c r="C10" t="s">
        <v>19</v>
      </c>
      <c r="D10" t="s">
        <v>13</v>
      </c>
      <c r="E10" s="2">
        <v>45885</v>
      </c>
      <c r="F10" s="2">
        <v>45886</v>
      </c>
      <c r="G10" s="2">
        <v>45886</v>
      </c>
      <c r="H10" s="4">
        <v>1</v>
      </c>
      <c r="I10">
        <f t="shared" si="1"/>
        <v>0</v>
      </c>
      <c r="J10">
        <f t="shared" si="2"/>
        <v>1</v>
      </c>
      <c r="K10" s="6">
        <f t="shared" si="3"/>
        <v>0</v>
      </c>
    </row>
    <row r="11" spans="1:11" x14ac:dyDescent="0.25">
      <c r="A11" t="str">
        <f t="shared" si="0"/>
        <v/>
      </c>
      <c r="B11" t="s">
        <v>8</v>
      </c>
      <c r="C11" t="s">
        <v>18</v>
      </c>
      <c r="D11" t="s">
        <v>13</v>
      </c>
      <c r="E11" s="2">
        <v>45885</v>
      </c>
      <c r="F11" s="2">
        <v>45886</v>
      </c>
      <c r="G11" s="2">
        <v>45886</v>
      </c>
      <c r="H11" s="4">
        <v>1</v>
      </c>
      <c r="I11">
        <f t="shared" si="1"/>
        <v>0</v>
      </c>
      <c r="J11">
        <f t="shared" si="2"/>
        <v>1</v>
      </c>
      <c r="K11" s="6">
        <f t="shared" si="3"/>
        <v>0</v>
      </c>
    </row>
    <row r="12" spans="1:11" x14ac:dyDescent="0.25">
      <c r="A12" t="str">
        <f t="shared" si="0"/>
        <v/>
      </c>
      <c r="B12" t="s">
        <v>8</v>
      </c>
      <c r="C12" t="s">
        <v>9</v>
      </c>
      <c r="D12" t="s">
        <v>27</v>
      </c>
      <c r="E12" s="2">
        <v>45887</v>
      </c>
      <c r="F12" s="2">
        <v>45888</v>
      </c>
      <c r="G12" s="2">
        <v>45887</v>
      </c>
      <c r="H12" s="4">
        <v>1</v>
      </c>
      <c r="I12">
        <f t="shared" si="1"/>
        <v>1</v>
      </c>
      <c r="J12">
        <f t="shared" si="2"/>
        <v>1</v>
      </c>
      <c r="K12" s="6">
        <f t="shared" si="3"/>
        <v>1</v>
      </c>
    </row>
    <row r="13" spans="1:11" x14ac:dyDescent="0.25">
      <c r="A13" t="str">
        <f t="shared" si="0"/>
        <v/>
      </c>
      <c r="B13" t="s">
        <v>8</v>
      </c>
      <c r="C13" t="s">
        <v>11</v>
      </c>
      <c r="D13" t="s">
        <v>28</v>
      </c>
      <c r="E13" s="2">
        <v>45885</v>
      </c>
      <c r="F13" s="2">
        <v>45889</v>
      </c>
      <c r="G13" s="2">
        <v>45887</v>
      </c>
      <c r="H13" s="4">
        <v>1</v>
      </c>
      <c r="I13">
        <f t="shared" si="1"/>
        <v>2</v>
      </c>
      <c r="J13">
        <f t="shared" si="2"/>
        <v>4</v>
      </c>
      <c r="K13" s="6">
        <f t="shared" si="3"/>
        <v>0.5</v>
      </c>
    </row>
    <row r="14" spans="1:11" x14ac:dyDescent="0.25">
      <c r="A14" t="str">
        <f t="shared" si="0"/>
        <v/>
      </c>
      <c r="B14" t="s">
        <v>8</v>
      </c>
      <c r="C14" t="s">
        <v>11</v>
      </c>
      <c r="D14" t="s">
        <v>29</v>
      </c>
      <c r="E14" s="2">
        <v>45885</v>
      </c>
      <c r="F14" s="2">
        <v>45889</v>
      </c>
      <c r="G14" s="2">
        <v>45887</v>
      </c>
      <c r="H14" s="4">
        <v>1</v>
      </c>
      <c r="I14">
        <f t="shared" si="1"/>
        <v>2</v>
      </c>
      <c r="J14">
        <f t="shared" si="2"/>
        <v>4</v>
      </c>
      <c r="K14" s="6"/>
    </row>
    <row r="15" spans="1:11" x14ac:dyDescent="0.25">
      <c r="A15" t="str">
        <f t="shared" si="0"/>
        <v/>
      </c>
      <c r="B15" t="s">
        <v>8</v>
      </c>
      <c r="C15" t="s">
        <v>11</v>
      </c>
      <c r="D15" t="s">
        <v>30</v>
      </c>
      <c r="E15" s="2">
        <v>45885</v>
      </c>
      <c r="F15" s="2">
        <v>45891</v>
      </c>
      <c r="G15" s="2">
        <v>45887</v>
      </c>
      <c r="H15" s="4">
        <v>1</v>
      </c>
      <c r="I15">
        <f t="shared" si="1"/>
        <v>4</v>
      </c>
      <c r="J15">
        <f t="shared" si="2"/>
        <v>6</v>
      </c>
      <c r="K15" s="6">
        <f t="shared" ref="K15:K24" si="4">I15/J15</f>
        <v>0.66666666666666663</v>
      </c>
    </row>
    <row r="16" spans="1:11" x14ac:dyDescent="0.25">
      <c r="A16" t="str">
        <f t="shared" si="0"/>
        <v/>
      </c>
      <c r="B16" t="s">
        <v>8</v>
      </c>
      <c r="C16" t="s">
        <v>11</v>
      </c>
      <c r="D16" t="s">
        <v>10</v>
      </c>
      <c r="E16" s="2">
        <v>45885</v>
      </c>
      <c r="F16" s="2">
        <v>45887</v>
      </c>
      <c r="G16" s="2">
        <v>45888</v>
      </c>
      <c r="H16" s="4">
        <v>1</v>
      </c>
      <c r="I16">
        <f t="shared" si="1"/>
        <v>-1</v>
      </c>
      <c r="J16">
        <f t="shared" si="2"/>
        <v>2</v>
      </c>
      <c r="K16" s="6">
        <f t="shared" si="4"/>
        <v>-0.5</v>
      </c>
    </row>
    <row r="17" spans="1:11" x14ac:dyDescent="0.25">
      <c r="A17" t="str">
        <f t="shared" si="0"/>
        <v/>
      </c>
      <c r="B17" t="s">
        <v>8</v>
      </c>
      <c r="C17" t="s">
        <v>12</v>
      </c>
      <c r="D17" t="s">
        <v>10</v>
      </c>
      <c r="E17" s="2">
        <v>45885</v>
      </c>
      <c r="F17" s="2">
        <v>45887</v>
      </c>
      <c r="G17" s="2">
        <v>45888</v>
      </c>
      <c r="H17" s="4">
        <v>1</v>
      </c>
      <c r="I17">
        <f t="shared" si="1"/>
        <v>-1</v>
      </c>
      <c r="J17">
        <f t="shared" si="2"/>
        <v>2</v>
      </c>
      <c r="K17" s="6">
        <f t="shared" si="4"/>
        <v>-0.5</v>
      </c>
    </row>
    <row r="18" spans="1:11" x14ac:dyDescent="0.25">
      <c r="A18" t="str">
        <f t="shared" si="0"/>
        <v/>
      </c>
      <c r="B18" t="s">
        <v>8</v>
      </c>
      <c r="C18" t="s">
        <v>12</v>
      </c>
      <c r="D18" t="s">
        <v>34</v>
      </c>
      <c r="E18" s="2">
        <v>45885</v>
      </c>
      <c r="F18" s="2">
        <v>45889</v>
      </c>
      <c r="G18" s="2">
        <v>45888</v>
      </c>
      <c r="H18" s="4">
        <v>1</v>
      </c>
      <c r="I18">
        <f t="shared" si="1"/>
        <v>1</v>
      </c>
      <c r="J18">
        <f t="shared" si="2"/>
        <v>4</v>
      </c>
      <c r="K18" s="6">
        <f t="shared" si="4"/>
        <v>0.25</v>
      </c>
    </row>
    <row r="19" spans="1:11" x14ac:dyDescent="0.25">
      <c r="A19" t="str">
        <f t="shared" si="0"/>
        <v/>
      </c>
      <c r="B19" t="s">
        <v>8</v>
      </c>
      <c r="C19" t="s">
        <v>12</v>
      </c>
      <c r="D19" t="s">
        <v>35</v>
      </c>
      <c r="E19" s="2">
        <v>45885</v>
      </c>
      <c r="F19" s="2">
        <v>45889</v>
      </c>
      <c r="G19" s="2">
        <v>45888</v>
      </c>
      <c r="H19" s="4">
        <v>1</v>
      </c>
      <c r="I19">
        <f t="shared" si="1"/>
        <v>1</v>
      </c>
      <c r="J19">
        <f t="shared" si="2"/>
        <v>4</v>
      </c>
      <c r="K19" s="6">
        <f t="shared" si="4"/>
        <v>0.25</v>
      </c>
    </row>
    <row r="20" spans="1:11" x14ac:dyDescent="0.25">
      <c r="A20" t="str">
        <f t="shared" si="0"/>
        <v/>
      </c>
      <c r="B20" t="s">
        <v>8</v>
      </c>
      <c r="C20" t="s">
        <v>12</v>
      </c>
      <c r="D20" t="s">
        <v>30</v>
      </c>
      <c r="E20" s="2">
        <v>45885</v>
      </c>
      <c r="F20" s="2">
        <v>45891</v>
      </c>
      <c r="G20" s="2">
        <v>45888</v>
      </c>
      <c r="H20" s="4">
        <v>1</v>
      </c>
      <c r="I20">
        <f t="shared" si="1"/>
        <v>3</v>
      </c>
      <c r="J20">
        <f t="shared" si="2"/>
        <v>6</v>
      </c>
      <c r="K20" s="6">
        <f t="shared" si="4"/>
        <v>0.5</v>
      </c>
    </row>
    <row r="21" spans="1:11" x14ac:dyDescent="0.25">
      <c r="A21" t="str">
        <f t="shared" si="0"/>
        <v/>
      </c>
      <c r="B21" t="s">
        <v>8</v>
      </c>
      <c r="C21" t="s">
        <v>16</v>
      </c>
      <c r="D21" t="s">
        <v>10</v>
      </c>
      <c r="E21" s="2">
        <v>45887</v>
      </c>
      <c r="F21" s="2">
        <v>45894</v>
      </c>
      <c r="G21" s="2">
        <v>45888</v>
      </c>
      <c r="H21" s="4">
        <v>1</v>
      </c>
      <c r="I21">
        <f t="shared" si="1"/>
        <v>6</v>
      </c>
      <c r="J21">
        <f t="shared" si="2"/>
        <v>7</v>
      </c>
      <c r="K21" s="6">
        <f t="shared" si="4"/>
        <v>0.8571428571428571</v>
      </c>
    </row>
    <row r="22" spans="1:11" x14ac:dyDescent="0.25">
      <c r="A22" t="str">
        <f t="shared" si="0"/>
        <v/>
      </c>
      <c r="B22" t="s">
        <v>8</v>
      </c>
      <c r="C22" t="s">
        <v>15</v>
      </c>
      <c r="D22" t="s">
        <v>10</v>
      </c>
      <c r="E22" s="2">
        <v>45887</v>
      </c>
      <c r="F22" s="2">
        <v>45894</v>
      </c>
      <c r="G22" s="2">
        <v>45888</v>
      </c>
      <c r="H22" s="4">
        <v>1</v>
      </c>
      <c r="I22">
        <f t="shared" si="1"/>
        <v>6</v>
      </c>
      <c r="J22">
        <f t="shared" si="2"/>
        <v>7</v>
      </c>
      <c r="K22" s="6">
        <f t="shared" si="4"/>
        <v>0.8571428571428571</v>
      </c>
    </row>
    <row r="23" spans="1:11" x14ac:dyDescent="0.25">
      <c r="A23" t="str">
        <f t="shared" si="0"/>
        <v/>
      </c>
      <c r="B23" t="s">
        <v>8</v>
      </c>
      <c r="C23" t="s">
        <v>12</v>
      </c>
      <c r="D23" t="s">
        <v>17</v>
      </c>
      <c r="E23" s="2">
        <v>45885</v>
      </c>
      <c r="F23" s="2">
        <v>45891</v>
      </c>
      <c r="G23" s="2">
        <v>45889</v>
      </c>
      <c r="H23" s="4">
        <v>1</v>
      </c>
      <c r="I23">
        <f t="shared" si="1"/>
        <v>2</v>
      </c>
      <c r="J23">
        <f t="shared" si="2"/>
        <v>6</v>
      </c>
      <c r="K23" s="6">
        <f t="shared" si="4"/>
        <v>0.33333333333333331</v>
      </c>
    </row>
    <row r="24" spans="1:11" x14ac:dyDescent="0.25">
      <c r="A24" t="str">
        <f t="shared" si="0"/>
        <v/>
      </c>
      <c r="B24" t="s">
        <v>44</v>
      </c>
      <c r="D24" t="s">
        <v>39</v>
      </c>
      <c r="E24" s="2">
        <v>45889</v>
      </c>
      <c r="F24" s="2">
        <v>45890</v>
      </c>
      <c r="G24" s="2">
        <v>45890</v>
      </c>
      <c r="H24" s="4">
        <v>0.8</v>
      </c>
      <c r="I24">
        <f t="shared" si="1"/>
        <v>0</v>
      </c>
      <c r="J24">
        <f t="shared" si="2"/>
        <v>1</v>
      </c>
      <c r="K24" s="6">
        <f t="shared" si="4"/>
        <v>0</v>
      </c>
    </row>
    <row r="25" spans="1:11" x14ac:dyDescent="0.25">
      <c r="A25" t="str">
        <f t="shared" si="0"/>
        <v/>
      </c>
      <c r="B25" t="s">
        <v>8</v>
      </c>
      <c r="C25" t="s">
        <v>12</v>
      </c>
      <c r="D25" t="s">
        <v>47</v>
      </c>
      <c r="E25" s="2">
        <v>45888</v>
      </c>
      <c r="F25" s="2">
        <v>45894</v>
      </c>
      <c r="G25" s="2">
        <v>45893</v>
      </c>
      <c r="H25" s="4">
        <v>1</v>
      </c>
      <c r="I25">
        <f t="shared" si="1"/>
        <v>1</v>
      </c>
      <c r="J25">
        <f t="shared" si="2"/>
        <v>6</v>
      </c>
      <c r="K25" s="6"/>
    </row>
    <row r="26" spans="1:11" x14ac:dyDescent="0.25">
      <c r="A26" t="str">
        <f t="shared" si="0"/>
        <v/>
      </c>
      <c r="B26" t="s">
        <v>8</v>
      </c>
      <c r="C26" t="s">
        <v>12</v>
      </c>
      <c r="D26" t="s">
        <v>48</v>
      </c>
      <c r="E26" s="2">
        <v>45888</v>
      </c>
      <c r="F26" s="2">
        <v>45894</v>
      </c>
      <c r="G26" s="2">
        <v>45893</v>
      </c>
      <c r="H26" s="4">
        <v>1</v>
      </c>
      <c r="I26">
        <f t="shared" si="1"/>
        <v>1</v>
      </c>
      <c r="J26">
        <f t="shared" si="2"/>
        <v>6</v>
      </c>
      <c r="K26" s="6">
        <f t="shared" ref="K26:K35" si="5">I26/J26</f>
        <v>0.16666666666666666</v>
      </c>
    </row>
    <row r="27" spans="1:11" x14ac:dyDescent="0.25">
      <c r="A27" t="str">
        <f t="shared" si="0"/>
        <v/>
      </c>
      <c r="B27" t="s">
        <v>8</v>
      </c>
      <c r="C27" t="s">
        <v>37</v>
      </c>
      <c r="D27" t="s">
        <v>46</v>
      </c>
      <c r="E27" s="2">
        <v>45893</v>
      </c>
      <c r="F27" s="2">
        <v>45893</v>
      </c>
      <c r="G27" s="2">
        <v>45893</v>
      </c>
      <c r="H27" s="4">
        <v>1</v>
      </c>
      <c r="I27">
        <f t="shared" si="1"/>
        <v>0</v>
      </c>
      <c r="J27">
        <f t="shared" si="2"/>
        <v>0</v>
      </c>
      <c r="K27" s="6" t="e">
        <f t="shared" si="5"/>
        <v>#DIV/0!</v>
      </c>
    </row>
    <row r="28" spans="1:11" x14ac:dyDescent="0.25">
      <c r="A28" t="str">
        <f t="shared" si="0"/>
        <v/>
      </c>
      <c r="B28" t="s">
        <v>8</v>
      </c>
      <c r="C28" t="s">
        <v>54</v>
      </c>
      <c r="D28" t="s">
        <v>50</v>
      </c>
      <c r="E28" s="2">
        <v>45893</v>
      </c>
      <c r="F28" s="2">
        <v>45893</v>
      </c>
      <c r="G28" s="2">
        <v>45893</v>
      </c>
      <c r="H28" s="4">
        <v>1</v>
      </c>
      <c r="I28">
        <f t="shared" si="1"/>
        <v>0</v>
      </c>
      <c r="J28">
        <f t="shared" si="2"/>
        <v>0</v>
      </c>
      <c r="K28" s="6" t="e">
        <f t="shared" si="5"/>
        <v>#DIV/0!</v>
      </c>
    </row>
    <row r="29" spans="1:11" x14ac:dyDescent="0.25">
      <c r="A29" t="str">
        <f t="shared" si="0"/>
        <v/>
      </c>
      <c r="B29" t="s">
        <v>8</v>
      </c>
      <c r="C29" t="s">
        <v>11</v>
      </c>
      <c r="D29" t="s">
        <v>17</v>
      </c>
      <c r="E29" s="2">
        <v>45885</v>
      </c>
      <c r="F29" s="2">
        <v>45894</v>
      </c>
      <c r="G29" s="2">
        <v>45896</v>
      </c>
      <c r="H29" s="4">
        <v>1</v>
      </c>
      <c r="I29">
        <f t="shared" si="1"/>
        <v>-2</v>
      </c>
      <c r="J29">
        <f t="shared" si="2"/>
        <v>9</v>
      </c>
      <c r="K29" s="6">
        <f t="shared" si="5"/>
        <v>-0.22222222222222221</v>
      </c>
    </row>
    <row r="30" spans="1:11" x14ac:dyDescent="0.25">
      <c r="A30" t="str">
        <f t="shared" si="0"/>
        <v/>
      </c>
      <c r="B30" t="s">
        <v>8</v>
      </c>
      <c r="C30" t="s">
        <v>18</v>
      </c>
      <c r="D30" t="s">
        <v>17</v>
      </c>
      <c r="E30" s="2">
        <v>45885</v>
      </c>
      <c r="F30" s="2">
        <v>45894</v>
      </c>
      <c r="G30" s="2">
        <v>45897</v>
      </c>
      <c r="H30" s="4">
        <v>1</v>
      </c>
      <c r="I30">
        <f t="shared" si="1"/>
        <v>-3</v>
      </c>
      <c r="J30">
        <f t="shared" si="2"/>
        <v>9</v>
      </c>
      <c r="K30" s="6">
        <f t="shared" si="5"/>
        <v>-0.33333333333333331</v>
      </c>
    </row>
    <row r="31" spans="1:11" x14ac:dyDescent="0.25">
      <c r="A31" t="str">
        <f t="shared" si="0"/>
        <v/>
      </c>
      <c r="B31" t="s">
        <v>8</v>
      </c>
      <c r="C31" t="s">
        <v>36</v>
      </c>
      <c r="D31" t="s">
        <v>31</v>
      </c>
      <c r="E31" s="2">
        <v>45889</v>
      </c>
      <c r="F31" s="2">
        <v>45895</v>
      </c>
      <c r="G31" s="2">
        <v>45897</v>
      </c>
      <c r="H31" s="4">
        <v>0.9</v>
      </c>
      <c r="I31">
        <f t="shared" si="1"/>
        <v>-2</v>
      </c>
      <c r="J31">
        <f t="shared" si="2"/>
        <v>6</v>
      </c>
      <c r="K31" s="6">
        <f t="shared" si="5"/>
        <v>-0.33333333333333331</v>
      </c>
    </row>
    <row r="32" spans="1:11" x14ac:dyDescent="0.25">
      <c r="A32" t="str">
        <f t="shared" si="0"/>
        <v/>
      </c>
      <c r="B32" t="s">
        <v>8</v>
      </c>
      <c r="C32" t="s">
        <v>36</v>
      </c>
      <c r="D32" t="s">
        <v>38</v>
      </c>
      <c r="E32" s="2">
        <v>45889</v>
      </c>
      <c r="F32" s="2">
        <v>45896</v>
      </c>
      <c r="G32" s="2">
        <v>45897</v>
      </c>
      <c r="H32" s="4">
        <v>1</v>
      </c>
      <c r="I32">
        <f t="shared" si="1"/>
        <v>-1</v>
      </c>
      <c r="J32">
        <f t="shared" si="2"/>
        <v>7</v>
      </c>
      <c r="K32" s="6">
        <f t="shared" si="5"/>
        <v>-0.14285714285714285</v>
      </c>
    </row>
    <row r="33" spans="1:11" x14ac:dyDescent="0.25">
      <c r="A33" t="str">
        <f t="shared" si="0"/>
        <v/>
      </c>
      <c r="B33" t="s">
        <v>8</v>
      </c>
      <c r="C33" t="s">
        <v>15</v>
      </c>
      <c r="D33" t="s">
        <v>14</v>
      </c>
      <c r="E33" s="2">
        <v>45889</v>
      </c>
      <c r="F33" s="2">
        <v>45897</v>
      </c>
      <c r="G33" s="2">
        <v>45897</v>
      </c>
      <c r="H33" s="4">
        <v>1</v>
      </c>
      <c r="I33">
        <f t="shared" si="1"/>
        <v>0</v>
      </c>
      <c r="J33">
        <f t="shared" si="2"/>
        <v>8</v>
      </c>
      <c r="K33" s="6">
        <f t="shared" si="5"/>
        <v>0</v>
      </c>
    </row>
    <row r="34" spans="1:11" x14ac:dyDescent="0.25">
      <c r="A34" t="str">
        <f t="shared" si="0"/>
        <v/>
      </c>
      <c r="B34" t="s">
        <v>8</v>
      </c>
      <c r="C34" t="s">
        <v>54</v>
      </c>
      <c r="D34" t="s">
        <v>5</v>
      </c>
      <c r="E34" s="2">
        <v>45885</v>
      </c>
      <c r="F34" s="2">
        <v>45891</v>
      </c>
      <c r="G34" s="2">
        <v>45898</v>
      </c>
      <c r="H34" s="4">
        <v>1</v>
      </c>
      <c r="I34">
        <f t="shared" si="1"/>
        <v>-7</v>
      </c>
      <c r="J34">
        <f t="shared" si="2"/>
        <v>6</v>
      </c>
      <c r="K34" s="6">
        <f t="shared" si="5"/>
        <v>-1.1666666666666667</v>
      </c>
    </row>
    <row r="35" spans="1:11" x14ac:dyDescent="0.25">
      <c r="A35" t="str">
        <f t="shared" si="0"/>
        <v/>
      </c>
      <c r="B35" t="s">
        <v>8</v>
      </c>
      <c r="C35" t="s">
        <v>37</v>
      </c>
      <c r="D35" t="s">
        <v>52</v>
      </c>
      <c r="E35" s="2">
        <v>45885</v>
      </c>
      <c r="F35" s="2">
        <v>45891</v>
      </c>
      <c r="G35" s="2">
        <v>45897</v>
      </c>
      <c r="H35" s="4">
        <v>1</v>
      </c>
      <c r="I35">
        <f t="shared" ref="I35:I60" si="6">F35-G35</f>
        <v>-6</v>
      </c>
      <c r="J35">
        <f t="shared" ref="J35:J66" si="7">F35-E35</f>
        <v>6</v>
      </c>
      <c r="K35" s="6">
        <f t="shared" si="5"/>
        <v>-1</v>
      </c>
    </row>
    <row r="36" spans="1:11" x14ac:dyDescent="0.25">
      <c r="A36" t="str">
        <f t="shared" si="0"/>
        <v/>
      </c>
      <c r="B36" t="s">
        <v>8</v>
      </c>
      <c r="C36" t="s">
        <v>23</v>
      </c>
      <c r="D36" t="s">
        <v>22</v>
      </c>
      <c r="E36" s="2">
        <v>45885</v>
      </c>
      <c r="F36" s="2">
        <v>45898</v>
      </c>
      <c r="G36" s="2">
        <v>45898</v>
      </c>
      <c r="H36" s="4">
        <v>1</v>
      </c>
      <c r="I36">
        <f t="shared" si="6"/>
        <v>0</v>
      </c>
      <c r="J36">
        <f t="shared" si="7"/>
        <v>13</v>
      </c>
      <c r="K36" s="6"/>
    </row>
    <row r="37" spans="1:11" x14ac:dyDescent="0.25">
      <c r="A37" t="str">
        <f t="shared" si="0"/>
        <v/>
      </c>
      <c r="B37" t="s">
        <v>8</v>
      </c>
      <c r="C37" t="s">
        <v>11</v>
      </c>
      <c r="D37" t="s">
        <v>45</v>
      </c>
      <c r="E37" s="2">
        <v>45893</v>
      </c>
      <c r="F37" s="2">
        <v>45898</v>
      </c>
      <c r="G37" s="2">
        <v>45898</v>
      </c>
      <c r="H37" s="4">
        <v>1</v>
      </c>
      <c r="I37">
        <f t="shared" si="6"/>
        <v>0</v>
      </c>
      <c r="J37">
        <f t="shared" si="7"/>
        <v>5</v>
      </c>
      <c r="K37" s="6">
        <f t="shared" ref="K37:K45" si="8">I37/J37</f>
        <v>0</v>
      </c>
    </row>
    <row r="38" spans="1:11" x14ac:dyDescent="0.25">
      <c r="A38" t="str">
        <f t="shared" si="0"/>
        <v/>
      </c>
      <c r="B38" t="s">
        <v>8</v>
      </c>
      <c r="C38" t="s">
        <v>12</v>
      </c>
      <c r="D38" t="s">
        <v>49</v>
      </c>
      <c r="E38" s="2">
        <v>45893</v>
      </c>
      <c r="F38" s="2">
        <v>45898</v>
      </c>
      <c r="G38" s="2">
        <v>45898</v>
      </c>
      <c r="H38" s="4">
        <v>1</v>
      </c>
      <c r="I38">
        <f t="shared" si="6"/>
        <v>0</v>
      </c>
      <c r="J38">
        <f t="shared" si="7"/>
        <v>5</v>
      </c>
      <c r="K38" s="6">
        <f t="shared" si="8"/>
        <v>0</v>
      </c>
    </row>
    <row r="39" spans="1:11" x14ac:dyDescent="0.25">
      <c r="A39" t="str">
        <f t="shared" si="0"/>
        <v/>
      </c>
      <c r="B39" t="s">
        <v>8</v>
      </c>
      <c r="C39" t="s">
        <v>54</v>
      </c>
      <c r="D39" t="s">
        <v>53</v>
      </c>
      <c r="E39" s="2">
        <v>45898</v>
      </c>
      <c r="F39" s="2">
        <v>45899</v>
      </c>
      <c r="G39" s="2">
        <v>45899</v>
      </c>
      <c r="H39" s="4">
        <v>1</v>
      </c>
      <c r="I39">
        <f t="shared" si="6"/>
        <v>0</v>
      </c>
      <c r="J39">
        <f t="shared" si="7"/>
        <v>1</v>
      </c>
      <c r="K39" s="6">
        <f t="shared" si="8"/>
        <v>0</v>
      </c>
    </row>
    <row r="40" spans="1:11" x14ac:dyDescent="0.25">
      <c r="A40" t="str">
        <f t="shared" si="0"/>
        <v/>
      </c>
      <c r="B40" t="s">
        <v>8</v>
      </c>
      <c r="C40" t="s">
        <v>12</v>
      </c>
      <c r="D40" t="s">
        <v>55</v>
      </c>
      <c r="E40" s="2">
        <v>45888</v>
      </c>
      <c r="F40" s="2">
        <v>45899</v>
      </c>
      <c r="G40" s="2">
        <v>45899</v>
      </c>
      <c r="H40" s="4">
        <v>1</v>
      </c>
      <c r="I40">
        <f t="shared" si="6"/>
        <v>0</v>
      </c>
      <c r="J40">
        <f t="shared" si="7"/>
        <v>11</v>
      </c>
      <c r="K40" s="6">
        <f t="shared" si="8"/>
        <v>0</v>
      </c>
    </row>
    <row r="41" spans="1:11" x14ac:dyDescent="0.25">
      <c r="A41" t="str">
        <f t="shared" si="0"/>
        <v/>
      </c>
      <c r="B41" t="s">
        <v>8</v>
      </c>
      <c r="C41" t="s">
        <v>12</v>
      </c>
      <c r="D41" t="s">
        <v>56</v>
      </c>
      <c r="E41" s="2">
        <v>45888</v>
      </c>
      <c r="F41" s="2">
        <v>45899</v>
      </c>
      <c r="G41" s="2">
        <v>45899</v>
      </c>
      <c r="H41" s="4">
        <v>1</v>
      </c>
      <c r="I41">
        <f t="shared" si="6"/>
        <v>0</v>
      </c>
      <c r="J41">
        <f t="shared" si="7"/>
        <v>11</v>
      </c>
      <c r="K41" s="6">
        <f t="shared" si="8"/>
        <v>0</v>
      </c>
    </row>
    <row r="42" spans="1:11" x14ac:dyDescent="0.25">
      <c r="A42" t="str">
        <f t="shared" si="0"/>
        <v/>
      </c>
      <c r="B42" t="s">
        <v>8</v>
      </c>
      <c r="C42" t="s">
        <v>12</v>
      </c>
      <c r="D42" t="s">
        <v>57</v>
      </c>
      <c r="E42" s="2">
        <v>45888</v>
      </c>
      <c r="F42" s="2">
        <v>45908</v>
      </c>
      <c r="G42" s="2">
        <v>45899</v>
      </c>
      <c r="H42" s="4">
        <v>1</v>
      </c>
      <c r="I42">
        <f t="shared" si="6"/>
        <v>9</v>
      </c>
      <c r="J42">
        <f t="shared" si="7"/>
        <v>20</v>
      </c>
      <c r="K42" s="6">
        <f t="shared" si="8"/>
        <v>0.45</v>
      </c>
    </row>
    <row r="43" spans="1:11" x14ac:dyDescent="0.25">
      <c r="A43" t="str">
        <f t="shared" si="0"/>
        <v/>
      </c>
      <c r="B43" t="s">
        <v>8</v>
      </c>
      <c r="C43" t="s">
        <v>11</v>
      </c>
      <c r="D43" t="s">
        <v>55</v>
      </c>
      <c r="E43" s="2">
        <v>45887</v>
      </c>
      <c r="F43" s="2">
        <v>45910</v>
      </c>
      <c r="G43" s="2">
        <v>45899</v>
      </c>
      <c r="H43" s="4">
        <v>1</v>
      </c>
      <c r="I43">
        <f t="shared" si="6"/>
        <v>11</v>
      </c>
      <c r="J43">
        <f t="shared" si="7"/>
        <v>23</v>
      </c>
      <c r="K43" s="6">
        <f t="shared" si="8"/>
        <v>0.47826086956521741</v>
      </c>
    </row>
    <row r="44" spans="1:11" x14ac:dyDescent="0.25">
      <c r="A44" t="str">
        <f t="shared" si="0"/>
        <v/>
      </c>
      <c r="B44" t="s">
        <v>8</v>
      </c>
      <c r="C44" t="s">
        <v>11</v>
      </c>
      <c r="D44" t="s">
        <v>56</v>
      </c>
      <c r="E44" s="2">
        <v>45887</v>
      </c>
      <c r="F44" s="2">
        <v>45910</v>
      </c>
      <c r="G44" s="2">
        <v>45899</v>
      </c>
      <c r="H44" s="4">
        <v>1</v>
      </c>
      <c r="I44">
        <f t="shared" si="6"/>
        <v>11</v>
      </c>
      <c r="J44">
        <f t="shared" si="7"/>
        <v>23</v>
      </c>
      <c r="K44" s="6">
        <f t="shared" si="8"/>
        <v>0.47826086956521741</v>
      </c>
    </row>
    <row r="45" spans="1:11" x14ac:dyDescent="0.25">
      <c r="A45" t="str">
        <f t="shared" si="0"/>
        <v/>
      </c>
      <c r="B45" t="s">
        <v>8</v>
      </c>
      <c r="C45" t="s">
        <v>11</v>
      </c>
      <c r="D45" t="s">
        <v>57</v>
      </c>
      <c r="E45" s="2">
        <v>45887</v>
      </c>
      <c r="F45" s="2">
        <v>45910</v>
      </c>
      <c r="G45" s="2">
        <v>45899</v>
      </c>
      <c r="H45" s="4">
        <v>1</v>
      </c>
      <c r="I45">
        <f t="shared" si="6"/>
        <v>11</v>
      </c>
      <c r="J45">
        <f t="shared" si="7"/>
        <v>23</v>
      </c>
      <c r="K45" s="6">
        <f t="shared" si="8"/>
        <v>0.47826086956521741</v>
      </c>
    </row>
    <row r="46" spans="1:11" x14ac:dyDescent="0.25">
      <c r="A46" t="str">
        <f>IF(ISNUMBER(G49),"",-($K$2-F49))</f>
        <v/>
      </c>
      <c r="B46" t="s">
        <v>8</v>
      </c>
      <c r="C46" t="s">
        <v>16</v>
      </c>
      <c r="D46" t="s">
        <v>14</v>
      </c>
      <c r="E46" s="2">
        <v>45889</v>
      </c>
      <c r="F46" s="2">
        <v>45902</v>
      </c>
      <c r="G46" s="2">
        <v>45902</v>
      </c>
      <c r="H46" s="4">
        <v>1</v>
      </c>
      <c r="I46">
        <f t="shared" si="6"/>
        <v>0</v>
      </c>
      <c r="J46">
        <f t="shared" si="7"/>
        <v>13</v>
      </c>
      <c r="K46" s="6"/>
    </row>
    <row r="47" spans="1:11" x14ac:dyDescent="0.25">
      <c r="A47" t="str">
        <f>IF(ISNUMBER(G46),"",-($K$2-F46))</f>
        <v/>
      </c>
      <c r="B47" t="s">
        <v>8</v>
      </c>
      <c r="C47" t="s">
        <v>9</v>
      </c>
      <c r="D47" t="s">
        <v>58</v>
      </c>
      <c r="E47" s="2">
        <v>45899</v>
      </c>
      <c r="F47" s="2">
        <v>45902</v>
      </c>
      <c r="G47" s="2">
        <v>45902</v>
      </c>
      <c r="H47" s="4">
        <v>1</v>
      </c>
      <c r="I47">
        <f t="shared" si="6"/>
        <v>0</v>
      </c>
      <c r="J47">
        <f t="shared" si="7"/>
        <v>3</v>
      </c>
      <c r="K47" s="6">
        <f>I47/J47</f>
        <v>0</v>
      </c>
    </row>
    <row r="48" spans="1:11" x14ac:dyDescent="0.25">
      <c r="A48" t="str">
        <f>IF(ISNUMBER(G47),"",-($K$2-F47))</f>
        <v/>
      </c>
      <c r="B48" t="s">
        <v>8</v>
      </c>
      <c r="C48" t="s">
        <v>54</v>
      </c>
      <c r="D48" t="s">
        <v>59</v>
      </c>
      <c r="E48" s="2">
        <v>45899</v>
      </c>
      <c r="F48" s="2">
        <v>45904</v>
      </c>
      <c r="G48" s="2">
        <v>45902</v>
      </c>
      <c r="H48" s="4">
        <v>1</v>
      </c>
      <c r="I48">
        <f t="shared" si="6"/>
        <v>2</v>
      </c>
      <c r="J48">
        <f t="shared" si="7"/>
        <v>5</v>
      </c>
      <c r="K48" s="6">
        <f>I48/J48</f>
        <v>0.4</v>
      </c>
    </row>
    <row r="49" spans="1:11" x14ac:dyDescent="0.25">
      <c r="A49" t="str">
        <f>IF(ISNUMBER(G48),"",-($K$2-F48))</f>
        <v/>
      </c>
      <c r="B49" t="s">
        <v>8</v>
      </c>
      <c r="C49" t="s">
        <v>37</v>
      </c>
      <c r="D49" t="s">
        <v>26</v>
      </c>
      <c r="E49" s="2">
        <v>45885</v>
      </c>
      <c r="F49" s="2">
        <v>45902</v>
      </c>
      <c r="G49" s="2">
        <v>45903</v>
      </c>
      <c r="H49" s="4">
        <v>1</v>
      </c>
      <c r="I49">
        <f t="shared" si="6"/>
        <v>-1</v>
      </c>
      <c r="J49">
        <f t="shared" si="7"/>
        <v>17</v>
      </c>
      <c r="K49" s="6">
        <f>I49/J49</f>
        <v>-5.8823529411764705E-2</v>
      </c>
    </row>
    <row r="50" spans="1:11" x14ac:dyDescent="0.25">
      <c r="A50" t="str">
        <f>IF(ISNUMBER(G50),"",-($K$2-F50))</f>
        <v/>
      </c>
      <c r="B50" t="s">
        <v>8</v>
      </c>
      <c r="C50" t="s">
        <v>20</v>
      </c>
      <c r="D50" t="s">
        <v>24</v>
      </c>
      <c r="E50" s="2">
        <v>45886</v>
      </c>
      <c r="F50" s="2">
        <v>45901</v>
      </c>
      <c r="G50" s="2">
        <v>45905</v>
      </c>
      <c r="H50" s="4">
        <v>0.7</v>
      </c>
      <c r="I50">
        <f t="shared" si="6"/>
        <v>-4</v>
      </c>
      <c r="J50">
        <f t="shared" si="7"/>
        <v>15</v>
      </c>
      <c r="K50" s="6">
        <f>I50/J50</f>
        <v>-0.26666666666666666</v>
      </c>
    </row>
    <row r="51" spans="1:11" x14ac:dyDescent="0.25">
      <c r="A51" t="str">
        <f t="shared" ref="A51:A56" si="9">IF(ISNUMBER(G53),"",-($K$2-F53))</f>
        <v/>
      </c>
      <c r="B51" t="s">
        <v>8</v>
      </c>
      <c r="C51" t="s">
        <v>9</v>
      </c>
      <c r="D51" t="s">
        <v>60</v>
      </c>
      <c r="E51" s="2">
        <v>45907</v>
      </c>
      <c r="F51" s="2">
        <v>45909</v>
      </c>
      <c r="G51" s="2">
        <v>45907</v>
      </c>
      <c r="H51" s="4">
        <v>1</v>
      </c>
      <c r="I51">
        <f t="shared" si="6"/>
        <v>2</v>
      </c>
      <c r="J51">
        <f t="shared" si="7"/>
        <v>2</v>
      </c>
      <c r="K51" s="6">
        <f>I51/J51</f>
        <v>1</v>
      </c>
    </row>
    <row r="52" spans="1:11" x14ac:dyDescent="0.25">
      <c r="A52" t="str">
        <f t="shared" si="9"/>
        <v/>
      </c>
      <c r="B52" t="s">
        <v>8</v>
      </c>
      <c r="C52" t="s">
        <v>20</v>
      </c>
      <c r="D52" t="s">
        <v>61</v>
      </c>
      <c r="E52" s="2">
        <v>45907</v>
      </c>
      <c r="F52" s="2">
        <v>45912</v>
      </c>
      <c r="G52" s="2">
        <v>45913</v>
      </c>
      <c r="H52" s="4">
        <v>0.9</v>
      </c>
      <c r="I52">
        <f t="shared" si="6"/>
        <v>-1</v>
      </c>
      <c r="J52">
        <f t="shared" si="7"/>
        <v>5</v>
      </c>
      <c r="K52" s="6"/>
    </row>
    <row r="53" spans="1:11" x14ac:dyDescent="0.25">
      <c r="A53" t="str">
        <f t="shared" si="9"/>
        <v/>
      </c>
      <c r="B53" t="s">
        <v>8</v>
      </c>
      <c r="C53" t="s">
        <v>11</v>
      </c>
      <c r="D53" t="s">
        <v>63</v>
      </c>
      <c r="E53" s="2">
        <v>45899</v>
      </c>
      <c r="F53" s="2">
        <v>45917</v>
      </c>
      <c r="G53" s="2">
        <v>45914</v>
      </c>
      <c r="H53" s="4">
        <v>1</v>
      </c>
      <c r="I53">
        <f t="shared" si="6"/>
        <v>3</v>
      </c>
      <c r="J53">
        <f t="shared" si="7"/>
        <v>18</v>
      </c>
      <c r="K53" s="6">
        <f t="shared" ref="K53:K69" si="10">I53/J53</f>
        <v>0.16666666666666666</v>
      </c>
    </row>
    <row r="54" spans="1:11" x14ac:dyDescent="0.25">
      <c r="A54" t="str">
        <f t="shared" si="9"/>
        <v/>
      </c>
      <c r="B54" t="s">
        <v>8</v>
      </c>
      <c r="C54" t="s">
        <v>11</v>
      </c>
      <c r="D54" t="s">
        <v>64</v>
      </c>
      <c r="E54" s="2">
        <v>45899</v>
      </c>
      <c r="F54" s="2">
        <v>45917</v>
      </c>
      <c r="G54" s="2">
        <v>45914</v>
      </c>
      <c r="H54" s="4">
        <v>1</v>
      </c>
      <c r="I54">
        <f t="shared" si="6"/>
        <v>3</v>
      </c>
      <c r="J54">
        <f t="shared" si="7"/>
        <v>18</v>
      </c>
      <c r="K54" s="6">
        <f t="shared" si="10"/>
        <v>0.16666666666666666</v>
      </c>
    </row>
    <row r="55" spans="1:11" x14ac:dyDescent="0.25">
      <c r="A55" t="str">
        <f t="shared" si="9"/>
        <v/>
      </c>
      <c r="B55" t="s">
        <v>8</v>
      </c>
      <c r="C55" t="s">
        <v>11</v>
      </c>
      <c r="D55" t="s">
        <v>65</v>
      </c>
      <c r="E55" s="2">
        <v>45899</v>
      </c>
      <c r="F55" s="2">
        <v>45917</v>
      </c>
      <c r="G55" s="2">
        <v>45914</v>
      </c>
      <c r="H55" s="4">
        <v>1</v>
      </c>
      <c r="I55">
        <f t="shared" si="6"/>
        <v>3</v>
      </c>
      <c r="J55">
        <f t="shared" si="7"/>
        <v>18</v>
      </c>
      <c r="K55" s="6">
        <f t="shared" si="10"/>
        <v>0.16666666666666666</v>
      </c>
    </row>
    <row r="56" spans="1:11" x14ac:dyDescent="0.25">
      <c r="A56" t="str">
        <f t="shared" si="9"/>
        <v/>
      </c>
      <c r="B56" t="s">
        <v>8</v>
      </c>
      <c r="C56" t="s">
        <v>12</v>
      </c>
      <c r="D56" t="s">
        <v>65</v>
      </c>
      <c r="E56" s="2">
        <v>45899</v>
      </c>
      <c r="F56" s="2">
        <v>45917</v>
      </c>
      <c r="G56" s="2">
        <v>45914</v>
      </c>
      <c r="H56" s="4">
        <v>1</v>
      </c>
      <c r="I56">
        <f t="shared" si="6"/>
        <v>3</v>
      </c>
      <c r="J56">
        <f t="shared" si="7"/>
        <v>18</v>
      </c>
      <c r="K56" s="6">
        <f t="shared" si="10"/>
        <v>0.16666666666666666</v>
      </c>
    </row>
    <row r="57" spans="1:11" x14ac:dyDescent="0.25">
      <c r="A57" t="str">
        <f>IF(ISNUMBER(G51),"",-($K$2-F51))</f>
        <v/>
      </c>
      <c r="B57" t="s">
        <v>8</v>
      </c>
      <c r="C57" t="s">
        <v>12</v>
      </c>
      <c r="D57" t="s">
        <v>63</v>
      </c>
      <c r="E57" s="2">
        <v>45899</v>
      </c>
      <c r="F57" s="2">
        <v>45917</v>
      </c>
      <c r="G57" s="2">
        <v>45914</v>
      </c>
      <c r="H57" s="4">
        <v>1</v>
      </c>
      <c r="I57">
        <f t="shared" si="6"/>
        <v>3</v>
      </c>
      <c r="J57">
        <f t="shared" si="7"/>
        <v>18</v>
      </c>
      <c r="K57" s="6">
        <f t="shared" si="10"/>
        <v>0.16666666666666666</v>
      </c>
    </row>
    <row r="58" spans="1:11" x14ac:dyDescent="0.25">
      <c r="A58" t="str">
        <f>IF(ISNUMBER(G52),"",-($K$2-F52))</f>
        <v/>
      </c>
      <c r="B58" t="s">
        <v>8</v>
      </c>
      <c r="C58" t="s">
        <v>12</v>
      </c>
      <c r="D58" t="s">
        <v>64</v>
      </c>
      <c r="E58" s="2">
        <v>45899</v>
      </c>
      <c r="F58" s="2">
        <v>45917</v>
      </c>
      <c r="G58" s="2">
        <v>45914</v>
      </c>
      <c r="H58" s="4">
        <v>1</v>
      </c>
      <c r="I58">
        <f t="shared" si="6"/>
        <v>3</v>
      </c>
      <c r="J58">
        <f t="shared" si="7"/>
        <v>18</v>
      </c>
      <c r="K58" s="6">
        <f t="shared" si="10"/>
        <v>0.16666666666666666</v>
      </c>
    </row>
    <row r="59" spans="1:11" x14ac:dyDescent="0.25">
      <c r="A59" t="str">
        <f>IF(ISNUMBER(G63),"",-($K$2-F63))</f>
        <v/>
      </c>
      <c r="B59" t="s">
        <v>8</v>
      </c>
      <c r="C59" t="s">
        <v>54</v>
      </c>
      <c r="D59" t="s">
        <v>67</v>
      </c>
      <c r="E59" s="2">
        <v>45915</v>
      </c>
      <c r="F59" s="2">
        <v>45917</v>
      </c>
      <c r="G59" s="2">
        <v>45918</v>
      </c>
      <c r="H59" s="4">
        <v>1</v>
      </c>
      <c r="I59">
        <f t="shared" si="6"/>
        <v>-1</v>
      </c>
      <c r="J59">
        <f t="shared" si="7"/>
        <v>2</v>
      </c>
      <c r="K59" s="6">
        <f t="shared" si="10"/>
        <v>-0.5</v>
      </c>
    </row>
    <row r="60" spans="1:11" x14ac:dyDescent="0.25">
      <c r="A60" t="str">
        <f>IF(ISNUMBER(G59),"",-($K$2-F59))</f>
        <v/>
      </c>
      <c r="B60" t="s">
        <v>8</v>
      </c>
      <c r="C60" t="s">
        <v>20</v>
      </c>
      <c r="D60" t="s">
        <v>62</v>
      </c>
      <c r="E60" s="2">
        <v>45915</v>
      </c>
      <c r="F60" s="2">
        <v>45919</v>
      </c>
      <c r="G60" s="2">
        <v>45918</v>
      </c>
      <c r="H60" s="4">
        <v>0.8</v>
      </c>
      <c r="I60">
        <f t="shared" si="6"/>
        <v>1</v>
      </c>
      <c r="J60">
        <f t="shared" si="7"/>
        <v>4</v>
      </c>
      <c r="K60" s="6">
        <f t="shared" si="10"/>
        <v>0.25</v>
      </c>
    </row>
    <row r="61" spans="1:11" x14ac:dyDescent="0.25">
      <c r="A61" t="str">
        <f>IF(ISNUMBER(G60),"",-($K$2-F60))</f>
        <v/>
      </c>
      <c r="B61" t="s">
        <v>8</v>
      </c>
      <c r="C61" t="s">
        <v>54</v>
      </c>
      <c r="D61" t="s">
        <v>78</v>
      </c>
      <c r="E61" s="2">
        <v>45915</v>
      </c>
      <c r="F61" s="2">
        <v>45917</v>
      </c>
      <c r="G61" s="2">
        <v>45924</v>
      </c>
      <c r="H61" s="4">
        <v>1</v>
      </c>
      <c r="J61">
        <f t="shared" si="7"/>
        <v>2</v>
      </c>
      <c r="K61" s="6">
        <f t="shared" si="10"/>
        <v>0</v>
      </c>
    </row>
    <row r="62" spans="1:11" x14ac:dyDescent="0.25">
      <c r="A62" t="str">
        <f>IF(ISNUMBER(G66),"",-($K$2-F66))</f>
        <v/>
      </c>
      <c r="B62" t="s">
        <v>8</v>
      </c>
      <c r="C62" t="s">
        <v>54</v>
      </c>
      <c r="D62" t="s">
        <v>70</v>
      </c>
      <c r="E62" s="2">
        <v>45915</v>
      </c>
      <c r="F62" s="2">
        <v>45924</v>
      </c>
      <c r="G62" s="2">
        <v>45924</v>
      </c>
      <c r="H62" s="4">
        <v>1</v>
      </c>
      <c r="I62">
        <f t="shared" ref="I62:I72" si="11">F62-G62</f>
        <v>0</v>
      </c>
      <c r="J62">
        <f t="shared" si="7"/>
        <v>9</v>
      </c>
      <c r="K62" s="6">
        <f t="shared" si="10"/>
        <v>0</v>
      </c>
    </row>
    <row r="63" spans="1:11" x14ac:dyDescent="0.25">
      <c r="A63" t="str">
        <f>IF(ISNUMBER(G64),"",-($K$2-F64))</f>
        <v/>
      </c>
      <c r="B63" t="s">
        <v>8</v>
      </c>
      <c r="C63" t="s">
        <v>19</v>
      </c>
      <c r="D63" t="s">
        <v>17</v>
      </c>
      <c r="E63" s="2">
        <v>45885</v>
      </c>
      <c r="F63" s="2">
        <v>45902</v>
      </c>
      <c r="G63" s="2">
        <v>45925</v>
      </c>
      <c r="H63" s="4">
        <v>1</v>
      </c>
      <c r="I63">
        <f t="shared" si="11"/>
        <v>-23</v>
      </c>
      <c r="J63">
        <f t="shared" si="7"/>
        <v>17</v>
      </c>
      <c r="K63" s="6">
        <f t="shared" si="10"/>
        <v>-1.3529411764705883</v>
      </c>
    </row>
    <row r="64" spans="1:11" x14ac:dyDescent="0.25">
      <c r="A64" t="str">
        <f>IF(ISNUMBER(G65),"",-($K$2-F65))</f>
        <v/>
      </c>
      <c r="B64" t="s">
        <v>8</v>
      </c>
      <c r="C64" t="s">
        <v>11</v>
      </c>
      <c r="D64" t="s">
        <v>70</v>
      </c>
      <c r="E64" s="2">
        <v>45915</v>
      </c>
      <c r="F64" s="2">
        <v>45925</v>
      </c>
      <c r="G64" s="2">
        <v>45925</v>
      </c>
      <c r="H64" s="4">
        <v>1</v>
      </c>
      <c r="I64">
        <f t="shared" si="11"/>
        <v>0</v>
      </c>
      <c r="J64">
        <f t="shared" si="7"/>
        <v>10</v>
      </c>
      <c r="K64" s="6">
        <f t="shared" si="10"/>
        <v>0</v>
      </c>
    </row>
    <row r="65" spans="1:11" x14ac:dyDescent="0.25">
      <c r="A65" t="str">
        <f>IF(ISNUMBER(G62),"",-($K$2-F62))</f>
        <v/>
      </c>
      <c r="B65" t="s">
        <v>8</v>
      </c>
      <c r="C65" t="s">
        <v>12</v>
      </c>
      <c r="D65" t="s">
        <v>70</v>
      </c>
      <c r="E65" s="2">
        <v>45915</v>
      </c>
      <c r="F65" s="2">
        <v>45925</v>
      </c>
      <c r="G65" s="2">
        <v>45925</v>
      </c>
      <c r="H65" s="4">
        <v>1</v>
      </c>
      <c r="I65">
        <f t="shared" si="11"/>
        <v>0</v>
      </c>
      <c r="J65">
        <f t="shared" si="7"/>
        <v>10</v>
      </c>
      <c r="K65" s="6">
        <f t="shared" si="10"/>
        <v>0</v>
      </c>
    </row>
    <row r="66" spans="1:11" x14ac:dyDescent="0.25">
      <c r="A66" t="str">
        <f t="shared" ref="A66:A72" si="12">IF(ISNUMBER(G67),"",-($K$2-F67))</f>
        <v/>
      </c>
      <c r="B66" t="s">
        <v>8</v>
      </c>
      <c r="C66" t="s">
        <v>20</v>
      </c>
      <c r="D66" t="s">
        <v>66</v>
      </c>
      <c r="E66" s="2">
        <v>45915</v>
      </c>
      <c r="F66" s="2">
        <v>45922</v>
      </c>
      <c r="G66" s="2">
        <v>45926</v>
      </c>
      <c r="H66" s="4">
        <v>0.9</v>
      </c>
      <c r="I66">
        <f t="shared" si="11"/>
        <v>-4</v>
      </c>
      <c r="J66">
        <f t="shared" si="7"/>
        <v>7</v>
      </c>
      <c r="K66" s="6">
        <f t="shared" si="10"/>
        <v>-0.5714285714285714</v>
      </c>
    </row>
    <row r="67" spans="1:11" x14ac:dyDescent="0.25">
      <c r="A67" t="str">
        <f t="shared" si="12"/>
        <v/>
      </c>
      <c r="B67" t="s">
        <v>8</v>
      </c>
      <c r="C67" t="s">
        <v>11</v>
      </c>
      <c r="D67" t="s">
        <v>75</v>
      </c>
      <c r="E67" s="2">
        <v>45899</v>
      </c>
      <c r="F67" s="2">
        <v>45929</v>
      </c>
      <c r="G67" s="2">
        <v>45927</v>
      </c>
      <c r="H67" s="4">
        <v>1</v>
      </c>
      <c r="I67">
        <f t="shared" si="11"/>
        <v>2</v>
      </c>
      <c r="J67">
        <f t="shared" ref="J67:J82" si="13">F67-E67</f>
        <v>30</v>
      </c>
      <c r="K67" s="6">
        <f t="shared" si="10"/>
        <v>6.6666666666666666E-2</v>
      </c>
    </row>
    <row r="68" spans="1:11" x14ac:dyDescent="0.25">
      <c r="A68" t="str">
        <f t="shared" si="12"/>
        <v/>
      </c>
      <c r="B68" t="s">
        <v>8</v>
      </c>
      <c r="C68" t="s">
        <v>12</v>
      </c>
      <c r="D68" t="s">
        <v>76</v>
      </c>
      <c r="E68" s="2">
        <v>45899</v>
      </c>
      <c r="F68" s="2">
        <v>45929</v>
      </c>
      <c r="G68" s="2">
        <v>45927</v>
      </c>
      <c r="H68" s="4">
        <v>1</v>
      </c>
      <c r="I68">
        <f t="shared" si="11"/>
        <v>2</v>
      </c>
      <c r="J68">
        <f t="shared" si="13"/>
        <v>30</v>
      </c>
      <c r="K68" s="6">
        <f t="shared" si="10"/>
        <v>6.6666666666666666E-2</v>
      </c>
    </row>
    <row r="69" spans="1:11" x14ac:dyDescent="0.25">
      <c r="A69" t="str">
        <f t="shared" si="12"/>
        <v/>
      </c>
      <c r="B69" t="s">
        <v>8</v>
      </c>
      <c r="C69" t="s">
        <v>12</v>
      </c>
      <c r="D69" t="s">
        <v>77</v>
      </c>
      <c r="E69" s="2">
        <v>45899</v>
      </c>
      <c r="F69" s="2">
        <v>45929</v>
      </c>
      <c r="G69" s="2">
        <v>45927</v>
      </c>
      <c r="H69" s="4">
        <v>1</v>
      </c>
      <c r="I69">
        <f t="shared" si="11"/>
        <v>2</v>
      </c>
      <c r="J69">
        <f t="shared" si="13"/>
        <v>30</v>
      </c>
      <c r="K69" s="6">
        <f t="shared" si="10"/>
        <v>6.6666666666666666E-2</v>
      </c>
    </row>
    <row r="70" spans="1:11" x14ac:dyDescent="0.25">
      <c r="A70" t="str">
        <f t="shared" si="12"/>
        <v/>
      </c>
      <c r="B70" t="s">
        <v>8</v>
      </c>
      <c r="C70" t="s">
        <v>11</v>
      </c>
      <c r="D70" t="s">
        <v>76</v>
      </c>
      <c r="E70" s="2">
        <v>45899</v>
      </c>
      <c r="F70" s="2">
        <v>45936</v>
      </c>
      <c r="G70" s="2">
        <v>45927</v>
      </c>
      <c r="H70" s="4">
        <v>1</v>
      </c>
      <c r="I70">
        <f t="shared" si="11"/>
        <v>9</v>
      </c>
      <c r="J70">
        <f t="shared" si="13"/>
        <v>37</v>
      </c>
      <c r="K70" s="6"/>
    </row>
    <row r="71" spans="1:11" x14ac:dyDescent="0.25">
      <c r="A71" t="str">
        <f t="shared" si="12"/>
        <v/>
      </c>
      <c r="B71" t="s">
        <v>8</v>
      </c>
      <c r="C71" t="s">
        <v>11</v>
      </c>
      <c r="D71" t="s">
        <v>77</v>
      </c>
      <c r="E71" s="2">
        <v>45899</v>
      </c>
      <c r="F71" s="2">
        <v>45936</v>
      </c>
      <c r="G71" s="2">
        <v>45927</v>
      </c>
      <c r="H71" s="4">
        <v>1</v>
      </c>
      <c r="I71">
        <f t="shared" si="11"/>
        <v>9</v>
      </c>
      <c r="J71">
        <f t="shared" si="13"/>
        <v>37</v>
      </c>
      <c r="K71" s="6">
        <f>I71/J71</f>
        <v>0.24324324324324326</v>
      </c>
    </row>
    <row r="72" spans="1:11" x14ac:dyDescent="0.25">
      <c r="A72" t="str">
        <f t="shared" si="12"/>
        <v/>
      </c>
      <c r="B72" t="s">
        <v>8</v>
      </c>
      <c r="C72" t="s">
        <v>12</v>
      </c>
      <c r="D72" t="s">
        <v>75</v>
      </c>
      <c r="E72" s="2">
        <v>45899</v>
      </c>
      <c r="F72" s="2">
        <v>45938</v>
      </c>
      <c r="G72" s="2">
        <v>45927</v>
      </c>
      <c r="H72" s="4">
        <v>1</v>
      </c>
      <c r="I72">
        <f t="shared" si="11"/>
        <v>11</v>
      </c>
      <c r="J72">
        <f t="shared" si="13"/>
        <v>39</v>
      </c>
      <c r="K72" s="6">
        <f>I72/J72</f>
        <v>0.28205128205128205</v>
      </c>
    </row>
    <row r="73" spans="1:11" x14ac:dyDescent="0.25">
      <c r="A73" t="str">
        <f t="shared" ref="A73:A78" si="14">IF(ISNUMBER(G77),"",-($K$2-F77))</f>
        <v/>
      </c>
      <c r="B73" t="s">
        <v>8</v>
      </c>
      <c r="C73" t="s">
        <v>69</v>
      </c>
      <c r="D73" t="s">
        <v>68</v>
      </c>
      <c r="E73" s="2">
        <v>45915</v>
      </c>
      <c r="F73" s="2">
        <v>45933</v>
      </c>
      <c r="G73" s="2">
        <v>45935</v>
      </c>
      <c r="H73" s="4">
        <v>0.9</v>
      </c>
      <c r="J73">
        <f t="shared" si="13"/>
        <v>18</v>
      </c>
      <c r="K73" s="6">
        <f>I73/J73</f>
        <v>0</v>
      </c>
    </row>
    <row r="74" spans="1:11" x14ac:dyDescent="0.25">
      <c r="A74" t="str">
        <f t="shared" si="14"/>
        <v/>
      </c>
      <c r="B74" t="s">
        <v>8</v>
      </c>
      <c r="C74" t="s">
        <v>82</v>
      </c>
      <c r="D74" t="s">
        <v>83</v>
      </c>
      <c r="E74" s="2">
        <v>45932</v>
      </c>
      <c r="F74" s="2">
        <v>45937</v>
      </c>
      <c r="G74" s="2">
        <v>45937</v>
      </c>
      <c r="H74" s="4">
        <v>1</v>
      </c>
      <c r="J74">
        <f t="shared" si="13"/>
        <v>5</v>
      </c>
      <c r="K74" s="6">
        <f>I74/J74</f>
        <v>0</v>
      </c>
    </row>
    <row r="75" spans="1:11" x14ac:dyDescent="0.25">
      <c r="A75" t="str">
        <f t="shared" si="14"/>
        <v/>
      </c>
      <c r="B75" t="s">
        <v>8</v>
      </c>
      <c r="C75" t="s">
        <v>54</v>
      </c>
      <c r="D75" t="s">
        <v>79</v>
      </c>
      <c r="E75" s="2">
        <v>45932</v>
      </c>
      <c r="F75" s="2">
        <v>45936</v>
      </c>
      <c r="G75" s="2">
        <v>45938</v>
      </c>
      <c r="H75" s="4">
        <v>1</v>
      </c>
      <c r="J75">
        <f t="shared" si="13"/>
        <v>4</v>
      </c>
      <c r="K75" s="6"/>
    </row>
    <row r="76" spans="1:11" x14ac:dyDescent="0.25">
      <c r="A76" t="str">
        <f t="shared" si="14"/>
        <v/>
      </c>
      <c r="B76" t="s">
        <v>8</v>
      </c>
      <c r="C76" t="s">
        <v>9</v>
      </c>
      <c r="D76" t="s">
        <v>81</v>
      </c>
      <c r="E76" s="2">
        <v>45932</v>
      </c>
      <c r="F76" s="2">
        <v>45936</v>
      </c>
      <c r="G76" s="2">
        <v>45939</v>
      </c>
      <c r="H76" s="4">
        <v>1</v>
      </c>
      <c r="J76">
        <f t="shared" si="13"/>
        <v>4</v>
      </c>
      <c r="K76" s="6">
        <f t="shared" ref="K76:K82" si="15">I76/J76</f>
        <v>0</v>
      </c>
    </row>
    <row r="77" spans="1:11" x14ac:dyDescent="0.25">
      <c r="A77" t="str">
        <f t="shared" si="14"/>
        <v/>
      </c>
      <c r="B77" t="s">
        <v>8</v>
      </c>
      <c r="C77" t="s">
        <v>12</v>
      </c>
      <c r="D77" t="s">
        <v>93</v>
      </c>
      <c r="E77" s="2">
        <v>45927</v>
      </c>
      <c r="F77" s="2">
        <v>45945</v>
      </c>
      <c r="G77" s="2">
        <v>45942</v>
      </c>
      <c r="H77" s="4">
        <v>1</v>
      </c>
      <c r="J77">
        <f t="shared" si="13"/>
        <v>18</v>
      </c>
      <c r="K77" s="6">
        <f t="shared" si="15"/>
        <v>0</v>
      </c>
    </row>
    <row r="78" spans="1:11" x14ac:dyDescent="0.25">
      <c r="A78" t="str">
        <f t="shared" si="14"/>
        <v/>
      </c>
      <c r="B78" t="s">
        <v>8</v>
      </c>
      <c r="C78" t="s">
        <v>12</v>
      </c>
      <c r="D78" t="s">
        <v>92</v>
      </c>
      <c r="E78" s="2">
        <v>45927</v>
      </c>
      <c r="F78" s="2">
        <v>45945</v>
      </c>
      <c r="G78" s="2">
        <v>45942</v>
      </c>
      <c r="H78" s="4">
        <v>1</v>
      </c>
      <c r="J78">
        <f t="shared" si="13"/>
        <v>18</v>
      </c>
      <c r="K78" s="6">
        <f t="shared" si="15"/>
        <v>0</v>
      </c>
    </row>
    <row r="79" spans="1:11" x14ac:dyDescent="0.25">
      <c r="A79" t="str">
        <f>IF(ISNUMBER(G61),"",-($K$2-F61))</f>
        <v/>
      </c>
      <c r="B79" t="s">
        <v>8</v>
      </c>
      <c r="C79" t="s">
        <v>12</v>
      </c>
      <c r="D79" t="s">
        <v>74</v>
      </c>
      <c r="E79" s="2">
        <v>45927</v>
      </c>
      <c r="F79" s="2">
        <v>45945</v>
      </c>
      <c r="G79" s="2">
        <v>45942</v>
      </c>
      <c r="H79" s="4">
        <v>1</v>
      </c>
      <c r="J79">
        <f t="shared" si="13"/>
        <v>18</v>
      </c>
      <c r="K79" s="6">
        <f t="shared" si="15"/>
        <v>0</v>
      </c>
    </row>
    <row r="80" spans="1:11" x14ac:dyDescent="0.25">
      <c r="A80" t="str">
        <f>IF(ISNUMBER(G75),"",-($K$2-F75))</f>
        <v/>
      </c>
      <c r="B80" t="s">
        <v>8</v>
      </c>
      <c r="C80" t="s">
        <v>11</v>
      </c>
      <c r="D80" t="s">
        <v>91</v>
      </c>
      <c r="E80" s="2">
        <v>45927</v>
      </c>
      <c r="F80" s="2">
        <v>45950</v>
      </c>
      <c r="G80" s="2">
        <v>45942</v>
      </c>
      <c r="H80" s="4">
        <v>1</v>
      </c>
      <c r="J80">
        <f t="shared" si="13"/>
        <v>23</v>
      </c>
      <c r="K80" s="6">
        <f t="shared" si="15"/>
        <v>0</v>
      </c>
    </row>
    <row r="81" spans="1:11" x14ac:dyDescent="0.25">
      <c r="A81" t="str">
        <f>IF(ISNUMBER(G76),"",-($K$2-F76))</f>
        <v/>
      </c>
      <c r="B81" t="s">
        <v>8</v>
      </c>
      <c r="C81" t="s">
        <v>11</v>
      </c>
      <c r="D81" t="s">
        <v>92</v>
      </c>
      <c r="E81" s="2">
        <v>45927</v>
      </c>
      <c r="F81" s="2">
        <v>45950</v>
      </c>
      <c r="G81" s="2">
        <v>45942</v>
      </c>
      <c r="H81" s="4">
        <v>1</v>
      </c>
      <c r="J81">
        <f t="shared" si="13"/>
        <v>23</v>
      </c>
      <c r="K81" s="6">
        <f t="shared" si="15"/>
        <v>0</v>
      </c>
    </row>
    <row r="82" spans="1:11" x14ac:dyDescent="0.25">
      <c r="A82" t="str">
        <f>IF(ISNUMBER(G74),"",-($K$2-F74))</f>
        <v/>
      </c>
      <c r="B82" t="s">
        <v>8</v>
      </c>
      <c r="C82" t="s">
        <v>11</v>
      </c>
      <c r="D82" t="s">
        <v>90</v>
      </c>
      <c r="E82" s="2">
        <v>45927</v>
      </c>
      <c r="F82" s="2">
        <v>45943</v>
      </c>
      <c r="G82" s="2">
        <v>45942</v>
      </c>
      <c r="H82" s="4">
        <v>1</v>
      </c>
      <c r="I82">
        <f>F82-G82</f>
        <v>1</v>
      </c>
      <c r="J82">
        <f t="shared" si="13"/>
        <v>16</v>
      </c>
      <c r="K82" s="6">
        <f t="shared" si="15"/>
        <v>6.25E-2</v>
      </c>
    </row>
    <row r="83" spans="1:11" x14ac:dyDescent="0.25">
      <c r="A83">
        <f t="shared" ref="A83:A93" si="16">IF(ISNUMBER(G83),"",-($K$2-F83))</f>
        <v>-49</v>
      </c>
      <c r="B83" t="s">
        <v>8</v>
      </c>
      <c r="C83" t="s">
        <v>37</v>
      </c>
      <c r="D83" t="s">
        <v>51</v>
      </c>
      <c r="E83" s="2">
        <v>45893</v>
      </c>
      <c r="F83" s="2">
        <v>45893</v>
      </c>
      <c r="K83" s="6"/>
    </row>
    <row r="84" spans="1:11" x14ac:dyDescent="0.25">
      <c r="A84">
        <f t="shared" si="16"/>
        <v>-48</v>
      </c>
      <c r="B84" t="s">
        <v>8</v>
      </c>
      <c r="C84" t="s">
        <v>20</v>
      </c>
      <c r="D84" t="s">
        <v>5</v>
      </c>
      <c r="E84" s="2">
        <v>45885</v>
      </c>
      <c r="F84" s="2">
        <v>45894</v>
      </c>
      <c r="K84" s="6"/>
    </row>
    <row r="85" spans="1:11" x14ac:dyDescent="0.25">
      <c r="A85">
        <f t="shared" si="16"/>
        <v>-23</v>
      </c>
      <c r="B85" t="s">
        <v>44</v>
      </c>
      <c r="C85" t="s">
        <v>95</v>
      </c>
      <c r="D85" t="s">
        <v>41</v>
      </c>
      <c r="E85" s="2">
        <v>45889</v>
      </c>
      <c r="F85" s="2">
        <v>45919</v>
      </c>
      <c r="K85" s="6"/>
    </row>
    <row r="86" spans="1:11" x14ac:dyDescent="0.25">
      <c r="A86">
        <f t="shared" si="16"/>
        <v>-23</v>
      </c>
      <c r="B86" t="s">
        <v>44</v>
      </c>
      <c r="C86" t="s">
        <v>95</v>
      </c>
      <c r="D86" t="s">
        <v>42</v>
      </c>
      <c r="E86" s="2">
        <v>45889</v>
      </c>
      <c r="F86" s="2">
        <v>45919</v>
      </c>
      <c r="K86" s="6"/>
    </row>
    <row r="87" spans="1:11" x14ac:dyDescent="0.25">
      <c r="A87">
        <f t="shared" si="16"/>
        <v>-23</v>
      </c>
      <c r="B87" t="s">
        <v>44</v>
      </c>
      <c r="C87" t="s">
        <v>95</v>
      </c>
      <c r="D87" t="s">
        <v>43</v>
      </c>
      <c r="E87" s="2">
        <v>45889</v>
      </c>
      <c r="F87" s="2">
        <v>45919</v>
      </c>
      <c r="K87" s="6"/>
    </row>
    <row r="88" spans="1:11" x14ac:dyDescent="0.25">
      <c r="A88">
        <f t="shared" si="16"/>
        <v>-23</v>
      </c>
      <c r="B88" t="s">
        <v>44</v>
      </c>
      <c r="C88" t="s">
        <v>95</v>
      </c>
      <c r="D88" t="s">
        <v>40</v>
      </c>
      <c r="E88" s="2">
        <v>45889</v>
      </c>
      <c r="F88" s="2">
        <v>45919</v>
      </c>
      <c r="K88" s="6"/>
    </row>
    <row r="89" spans="1:11" x14ac:dyDescent="0.25">
      <c r="A89" t="str">
        <f t="shared" si="16"/>
        <v/>
      </c>
      <c r="B89" t="s">
        <v>8</v>
      </c>
      <c r="C89" t="s">
        <v>11</v>
      </c>
      <c r="D89" t="s">
        <v>80</v>
      </c>
      <c r="E89" s="2">
        <v>45932</v>
      </c>
      <c r="F89" s="2">
        <v>45945</v>
      </c>
      <c r="G89" s="2">
        <v>45944</v>
      </c>
      <c r="K89" s="6"/>
    </row>
    <row r="90" spans="1:11" x14ac:dyDescent="0.25">
      <c r="A90">
        <f t="shared" si="16"/>
        <v>5</v>
      </c>
      <c r="B90" t="s">
        <v>8</v>
      </c>
      <c r="C90" t="s">
        <v>20</v>
      </c>
      <c r="D90" t="s">
        <v>32</v>
      </c>
      <c r="E90" s="2">
        <v>45887</v>
      </c>
      <c r="F90" s="2">
        <v>45947</v>
      </c>
      <c r="K90" s="6"/>
    </row>
    <row r="91" spans="1:11" x14ac:dyDescent="0.25">
      <c r="A91">
        <f t="shared" si="16"/>
        <v>8</v>
      </c>
      <c r="B91" t="s">
        <v>8</v>
      </c>
      <c r="C91" t="s">
        <v>20</v>
      </c>
      <c r="D91" t="s">
        <v>71</v>
      </c>
      <c r="E91" s="2">
        <v>45926</v>
      </c>
      <c r="F91" s="2">
        <v>45950</v>
      </c>
      <c r="H91" s="4"/>
      <c r="K91" s="6"/>
    </row>
    <row r="92" spans="1:11" x14ac:dyDescent="0.25">
      <c r="A92">
        <f t="shared" si="16"/>
        <v>15</v>
      </c>
      <c r="B92" t="s">
        <v>8</v>
      </c>
      <c r="C92" t="s">
        <v>20</v>
      </c>
      <c r="D92" t="s">
        <v>72</v>
      </c>
      <c r="E92" s="2">
        <v>45926</v>
      </c>
      <c r="F92" s="2">
        <v>45957</v>
      </c>
      <c r="G92" s="2"/>
      <c r="H92" s="4"/>
      <c r="K92" s="6"/>
    </row>
    <row r="93" spans="1:11" x14ac:dyDescent="0.25">
      <c r="A93">
        <f t="shared" si="16"/>
        <v>22</v>
      </c>
      <c r="B93" t="s">
        <v>8</v>
      </c>
      <c r="C93" t="s">
        <v>20</v>
      </c>
      <c r="D93" t="s">
        <v>73</v>
      </c>
      <c r="E93" s="2">
        <v>45926</v>
      </c>
      <c r="F93" s="2">
        <v>45964</v>
      </c>
      <c r="K93" s="6"/>
    </row>
    <row r="94" spans="1:11" x14ac:dyDescent="0.25">
      <c r="A94">
        <f t="shared" ref="A94:A99" si="17">IF(ISNUMBER(G94),"",-($K$2-F94))</f>
        <v>31</v>
      </c>
      <c r="B94" t="s">
        <v>8</v>
      </c>
      <c r="C94" t="s">
        <v>12</v>
      </c>
      <c r="D94" t="s">
        <v>89</v>
      </c>
      <c r="E94" s="2">
        <v>45942</v>
      </c>
      <c r="F94" s="2">
        <v>45973</v>
      </c>
    </row>
    <row r="95" spans="1:11" x14ac:dyDescent="0.25">
      <c r="A95">
        <f t="shared" si="17"/>
        <v>31</v>
      </c>
      <c r="B95" t="s">
        <v>8</v>
      </c>
      <c r="C95" t="s">
        <v>12</v>
      </c>
      <c r="D95" t="s">
        <v>88</v>
      </c>
      <c r="E95" s="2">
        <v>45942</v>
      </c>
      <c r="F95" s="2">
        <v>45973</v>
      </c>
    </row>
    <row r="96" spans="1:11" x14ac:dyDescent="0.25">
      <c r="A96">
        <f t="shared" si="17"/>
        <v>22</v>
      </c>
      <c r="B96" t="s">
        <v>8</v>
      </c>
      <c r="C96" t="s">
        <v>12</v>
      </c>
      <c r="D96" t="s">
        <v>87</v>
      </c>
      <c r="E96" s="2">
        <v>45942</v>
      </c>
      <c r="F96" s="2">
        <v>45964</v>
      </c>
    </row>
    <row r="97" spans="1:7" x14ac:dyDescent="0.25">
      <c r="A97">
        <f t="shared" si="17"/>
        <v>29</v>
      </c>
      <c r="B97" t="s">
        <v>8</v>
      </c>
      <c r="C97" t="s">
        <v>11</v>
      </c>
      <c r="D97" t="s">
        <v>86</v>
      </c>
      <c r="E97" s="2">
        <v>45942</v>
      </c>
      <c r="F97" s="2">
        <v>45971</v>
      </c>
    </row>
    <row r="98" spans="1:7" x14ac:dyDescent="0.25">
      <c r="A98">
        <f t="shared" si="17"/>
        <v>43</v>
      </c>
      <c r="B98" t="s">
        <v>8</v>
      </c>
      <c r="C98" t="s">
        <v>11</v>
      </c>
      <c r="D98" t="s">
        <v>85</v>
      </c>
      <c r="E98" s="2">
        <v>45942</v>
      </c>
      <c r="F98" s="2">
        <v>45985</v>
      </c>
    </row>
    <row r="99" spans="1:7" x14ac:dyDescent="0.25">
      <c r="A99">
        <f t="shared" si="17"/>
        <v>22</v>
      </c>
      <c r="B99" t="s">
        <v>8</v>
      </c>
      <c r="C99" t="s">
        <v>11</v>
      </c>
      <c r="D99" t="s">
        <v>84</v>
      </c>
      <c r="E99" s="2">
        <v>45942</v>
      </c>
      <c r="F99" s="2">
        <v>45964</v>
      </c>
    </row>
    <row r="100" spans="1:7" x14ac:dyDescent="0.25">
      <c r="A100">
        <f>IF(ISNUMBER(G100),"",-($K$2-F100))</f>
        <v>8</v>
      </c>
      <c r="B100" t="s">
        <v>8</v>
      </c>
      <c r="C100" t="s">
        <v>12</v>
      </c>
      <c r="D100" t="s">
        <v>80</v>
      </c>
      <c r="E100" s="2">
        <v>45938</v>
      </c>
      <c r="F100" s="2">
        <v>45950</v>
      </c>
      <c r="G100" s="2"/>
    </row>
    <row r="101" spans="1:7" x14ac:dyDescent="0.25">
      <c r="A101" t="str">
        <f>IF(ISNUMBER(G101),"",-($K$2-F101))</f>
        <v/>
      </c>
      <c r="B101" t="s">
        <v>8</v>
      </c>
      <c r="C101" t="s">
        <v>54</v>
      </c>
      <c r="D101" t="s">
        <v>94</v>
      </c>
      <c r="E101" s="2">
        <v>45942</v>
      </c>
      <c r="F101" s="2">
        <v>45942</v>
      </c>
      <c r="G101" s="2">
        <v>45942</v>
      </c>
    </row>
  </sheetData>
  <sortState xmlns:xlrd2="http://schemas.microsoft.com/office/spreadsheetml/2017/richdata2" ref="A83:F93">
    <sortCondition ref="A83:A93"/>
  </sortState>
  <conditionalFormatting sqref="A3:A9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9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8:A9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0:A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3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8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 H4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3:H54 H5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:H5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5 H6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0 H6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3 H8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4:H8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9:H90 H86:H8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2:H9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9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{DF9460F9-102D-45FF-BE41-B1646D5E70A3}</x14:id>
        </ext>
      </extLst>
    </cfRule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{6DBB2E63-E4B7-40F1-83D7-455752821B91}</x14:id>
        </ext>
      </extLst>
    </cfRule>
  </conditionalFormatting>
  <dataValidations count="1">
    <dataValidation type="date" allowBlank="1" showInputMessage="1" showErrorMessage="1" sqref="G23:G24 E3:G15 G26 G16:G21 E16:F27 E28:G28 G31:G32 G36 G34 F29:F37 F38:G40 K2 F119:G123 G92:G93 F111:F122 G100:G101 G53:G57 G42:G45 F41:F45 E29:E45 E46:G50 E51:F51 E53:F58 E52:G52 G67:G69 E67:F72 G75 E59:G66 E74:F76 E73:G73 E77:G88 E117:E126 E89:F101 G89:G90" xr:uid="{00000000-0002-0000-0000-000000000000}">
      <formula1>1</formula1>
      <formula2>2958465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460F9-102D-45FF-BE41-B1646D5E70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BB2E63-E4B7-40F1-83D7-455752821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K3:K93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Tasks</vt:lpstr>
      <vt:lpstr>Tasks_Complete</vt:lpstr>
      <vt:lpstr>Tasks_End</vt:lpstr>
      <vt:lpstr>Tasks_Names</vt:lpstr>
      <vt:lpstr>Tasks_Pct</vt:lpstr>
      <vt:lpstr>Tasks_Start</vt:lpstr>
      <vt:lpstr>TasksTable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</dc:creator>
  <cp:lastModifiedBy>Cole Prather</cp:lastModifiedBy>
  <dcterms:created xsi:type="dcterms:W3CDTF">2025-08-16T18:15:03Z</dcterms:created>
  <dcterms:modified xsi:type="dcterms:W3CDTF">2025-12-27T03:12:04Z</dcterms:modified>
</cp:coreProperties>
</file>